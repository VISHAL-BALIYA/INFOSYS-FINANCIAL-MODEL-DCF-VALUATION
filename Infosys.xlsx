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shal\Downloads\"/>
    </mc:Choice>
  </mc:AlternateContent>
  <xr:revisionPtr revIDLastSave="0" documentId="13_ncr:1_{ACB8BEA5-D0EA-4E01-9E3E-BA66A39BBB23}" xr6:coauthVersionLast="47" xr6:coauthVersionMax="47" xr10:uidLastSave="{00000000-0000-0000-0000-000000000000}"/>
  <bookViews>
    <workbookView xWindow="0" yWindow="360" windowWidth="23256" windowHeight="12456" firstSheet="6" activeTab="8" xr2:uid="{00000000-000D-0000-FFFF-FFFF00000000}"/>
  </bookViews>
  <sheets>
    <sheet name="ASSUMPTIONS" sheetId="20" r:id="rId1"/>
    <sheet name="FINANCIAL MODEL&lt;" sheetId="10" r:id="rId2"/>
    <sheet name="Profit &amp; Loss" sheetId="1" r:id="rId3"/>
    <sheet name="Balance Sheet" sheetId="2" r:id="rId4"/>
    <sheet name="Cash Flow" sheetId="4" r:id="rId5"/>
    <sheet name="RATIO ANALYSIS" sheetId="8" r:id="rId6"/>
    <sheet name="FORECASTING" sheetId="9" r:id="rId7"/>
    <sheet name="DCF VALUATION&lt;" sheetId="13" r:id="rId8"/>
    <sheet name="WACC" sheetId="12" r:id="rId9"/>
    <sheet name="DATA&lt;" sheetId="14" r:id="rId10"/>
    <sheet name="INTRINSIC GROWTH" sheetId="15" r:id="rId11"/>
    <sheet name="RAW FS" sheetId="21" r:id="rId12"/>
    <sheet name="DCF" sheetId="16" r:id="rId13"/>
    <sheet name="DATA ROOM&lt;" sheetId="11" r:id="rId14"/>
    <sheet name="Data Sheet" sheetId="6" r:id="rId15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" i="15" l="1"/>
  <c r="I43" i="15"/>
  <c r="I44" i="15" s="1"/>
  <c r="I50" i="15" s="1"/>
  <c r="J43" i="15"/>
  <c r="K43" i="15"/>
  <c r="K44" i="15" s="1"/>
  <c r="G43" i="15"/>
  <c r="J44" i="15"/>
  <c r="J50" i="15" s="1"/>
  <c r="E28" i="16"/>
  <c r="E32" i="12"/>
  <c r="E27" i="16"/>
  <c r="F16" i="16" s="1"/>
  <c r="E42" i="16"/>
  <c r="E40" i="16"/>
  <c r="E39" i="16"/>
  <c r="E20" i="16"/>
  <c r="G6" i="16"/>
  <c r="G10" i="16" s="1"/>
  <c r="H6" i="16"/>
  <c r="I6" i="16"/>
  <c r="J6" i="16"/>
  <c r="K6" i="16"/>
  <c r="F6" i="16"/>
  <c r="F10" i="16" s="1"/>
  <c r="G8" i="16"/>
  <c r="H8" i="16" s="1"/>
  <c r="I57" i="15"/>
  <c r="K57" i="15"/>
  <c r="G57" i="15"/>
  <c r="G46" i="15"/>
  <c r="G48" i="15" s="1"/>
  <c r="H44" i="15"/>
  <c r="H36" i="15"/>
  <c r="H46" i="15" s="1"/>
  <c r="H48" i="15" s="1"/>
  <c r="I36" i="15"/>
  <c r="J36" i="15"/>
  <c r="K36" i="15"/>
  <c r="G36" i="15"/>
  <c r="H32" i="15"/>
  <c r="I32" i="15"/>
  <c r="J32" i="15"/>
  <c r="K32" i="15"/>
  <c r="G32" i="15"/>
  <c r="H21" i="15"/>
  <c r="H31" i="15" s="1"/>
  <c r="H33" i="15" s="1"/>
  <c r="I21" i="15"/>
  <c r="I31" i="15" s="1"/>
  <c r="I33" i="15" s="1"/>
  <c r="J21" i="15"/>
  <c r="J31" i="15" s="1"/>
  <c r="J33" i="15" s="1"/>
  <c r="K21" i="15"/>
  <c r="H22" i="15"/>
  <c r="I22" i="15"/>
  <c r="J22" i="15"/>
  <c r="K22" i="15"/>
  <c r="K31" i="15" s="1"/>
  <c r="K33" i="15" s="1"/>
  <c r="H23" i="15"/>
  <c r="I23" i="15"/>
  <c r="J23" i="15"/>
  <c r="K23" i="15"/>
  <c r="H24" i="15"/>
  <c r="I24" i="15"/>
  <c r="J24" i="15"/>
  <c r="K24" i="15"/>
  <c r="H25" i="15"/>
  <c r="I25" i="15"/>
  <c r="J25" i="15"/>
  <c r="K25" i="15"/>
  <c r="H26" i="15"/>
  <c r="I26" i="15"/>
  <c r="J26" i="15"/>
  <c r="K26" i="15"/>
  <c r="H27" i="15"/>
  <c r="I27" i="15"/>
  <c r="J27" i="15"/>
  <c r="K27" i="15"/>
  <c r="H28" i="15"/>
  <c r="I28" i="15"/>
  <c r="J28" i="15"/>
  <c r="K28" i="15"/>
  <c r="H29" i="15"/>
  <c r="I29" i="15"/>
  <c r="J29" i="15"/>
  <c r="K29" i="15"/>
  <c r="G22" i="15"/>
  <c r="G23" i="15"/>
  <c r="G31" i="15" s="1"/>
  <c r="G33" i="15" s="1"/>
  <c r="G24" i="15"/>
  <c r="G25" i="15"/>
  <c r="G26" i="15"/>
  <c r="G27" i="15"/>
  <c r="G28" i="15"/>
  <c r="G29" i="15"/>
  <c r="G21" i="15"/>
  <c r="H15" i="15"/>
  <c r="I15" i="15"/>
  <c r="J15" i="15"/>
  <c r="K15" i="15"/>
  <c r="G15" i="15"/>
  <c r="H14" i="15"/>
  <c r="I14" i="15"/>
  <c r="J14" i="15"/>
  <c r="K14" i="15"/>
  <c r="G14" i="15"/>
  <c r="H13" i="15"/>
  <c r="I13" i="15"/>
  <c r="J13" i="15"/>
  <c r="K13" i="15"/>
  <c r="G13" i="15"/>
  <c r="H9" i="15"/>
  <c r="I9" i="15"/>
  <c r="J9" i="15"/>
  <c r="K9" i="15"/>
  <c r="G9" i="15"/>
  <c r="H8" i="15"/>
  <c r="I8" i="15"/>
  <c r="J8" i="15"/>
  <c r="K8" i="15"/>
  <c r="G8" i="15"/>
  <c r="H7" i="15"/>
  <c r="I7" i="15"/>
  <c r="J7" i="15"/>
  <c r="K7" i="15"/>
  <c r="G7" i="15"/>
  <c r="H3" i="15"/>
  <c r="H57" i="15" s="1"/>
  <c r="I3" i="15"/>
  <c r="J3" i="15"/>
  <c r="J57" i="15" s="1"/>
  <c r="K3" i="15"/>
  <c r="G3" i="15"/>
  <c r="J44" i="12"/>
  <c r="J39" i="12"/>
  <c r="J42" i="12"/>
  <c r="J41" i="12"/>
  <c r="J38" i="12"/>
  <c r="J26" i="12"/>
  <c r="J25" i="12"/>
  <c r="J34" i="12"/>
  <c r="J33" i="12"/>
  <c r="J32" i="12"/>
  <c r="E36" i="12"/>
  <c r="D36" i="12"/>
  <c r="E33" i="12"/>
  <c r="E34" i="12"/>
  <c r="D33" i="12"/>
  <c r="D34" i="12"/>
  <c r="D32" i="12"/>
  <c r="C34" i="12"/>
  <c r="C33" i="12"/>
  <c r="C32" i="12"/>
  <c r="J31" i="12"/>
  <c r="J24" i="12"/>
  <c r="E25" i="12"/>
  <c r="E23" i="12"/>
  <c r="G16" i="16" l="1"/>
  <c r="I8" i="16"/>
  <c r="J8" i="16" s="1"/>
  <c r="K8" i="16" s="1"/>
  <c r="K10" i="16" s="1"/>
  <c r="H10" i="16"/>
  <c r="K16" i="16"/>
  <c r="J16" i="16"/>
  <c r="I16" i="16"/>
  <c r="H16" i="16"/>
  <c r="I52" i="15"/>
  <c r="I59" i="15" s="1"/>
  <c r="K46" i="15"/>
  <c r="K48" i="15" s="1"/>
  <c r="J46" i="15"/>
  <c r="J48" i="15" s="1"/>
  <c r="J52" i="15" s="1"/>
  <c r="J59" i="15" s="1"/>
  <c r="J62" i="15" s="1"/>
  <c r="H50" i="15"/>
  <c r="H52" i="15" s="1"/>
  <c r="I46" i="15"/>
  <c r="I48" i="15" s="1"/>
  <c r="K50" i="15"/>
  <c r="I10" i="15"/>
  <c r="I16" i="15"/>
  <c r="K16" i="15"/>
  <c r="J16" i="15"/>
  <c r="J18" i="15" s="1"/>
  <c r="J35" i="15" s="1"/>
  <c r="J38" i="15" s="1"/>
  <c r="J60" i="15" s="1"/>
  <c r="H16" i="15"/>
  <c r="H10" i="15"/>
  <c r="H18" i="15" s="1"/>
  <c r="H35" i="15" s="1"/>
  <c r="H38" i="15" s="1"/>
  <c r="H60" i="15" s="1"/>
  <c r="G10" i="15"/>
  <c r="K10" i="15"/>
  <c r="J10" i="15"/>
  <c r="G16" i="15"/>
  <c r="J10" i="16" l="1"/>
  <c r="I10" i="16"/>
  <c r="H59" i="15"/>
  <c r="H62" i="15" s="1"/>
  <c r="K18" i="15"/>
  <c r="K35" i="15" s="1"/>
  <c r="K38" i="15" s="1"/>
  <c r="K60" i="15" s="1"/>
  <c r="K52" i="15"/>
  <c r="K59" i="15" s="1"/>
  <c r="K62" i="15" s="1"/>
  <c r="I18" i="15"/>
  <c r="I35" i="15" s="1"/>
  <c r="I38" i="15" s="1"/>
  <c r="I60" i="15" s="1"/>
  <c r="I62" i="15" s="1"/>
  <c r="G18" i="15"/>
  <c r="G35" i="15" s="1"/>
  <c r="G38" i="15" s="1"/>
  <c r="K54" i="15" l="1"/>
  <c r="K55" i="15"/>
  <c r="F12" i="16" s="1"/>
  <c r="G12" i="16" s="1"/>
  <c r="K65" i="15"/>
  <c r="K64" i="15"/>
  <c r="F14" i="16" l="1"/>
  <c r="E26" i="16" s="1"/>
  <c r="E30" i="16" s="1"/>
  <c r="E36" i="16" s="1"/>
  <c r="H12" i="16"/>
  <c r="G14" i="16"/>
  <c r="G18" i="12"/>
  <c r="H18" i="12"/>
  <c r="I18" i="12"/>
  <c r="J18" i="12"/>
  <c r="F18" i="12"/>
  <c r="G17" i="12"/>
  <c r="H17" i="12"/>
  <c r="I17" i="12"/>
  <c r="J17" i="12"/>
  <c r="F17" i="12"/>
  <c r="J11" i="12"/>
  <c r="J12" i="12"/>
  <c r="J13" i="12"/>
  <c r="J14" i="12"/>
  <c r="J10" i="12"/>
  <c r="H11" i="12"/>
  <c r="H12" i="12"/>
  <c r="H13" i="12"/>
  <c r="H14" i="12"/>
  <c r="H10" i="12"/>
  <c r="G11" i="12"/>
  <c r="G12" i="12"/>
  <c r="G13" i="12"/>
  <c r="G14" i="12"/>
  <c r="G10" i="12"/>
  <c r="C11" i="12"/>
  <c r="N136" i="9" a="1"/>
  <c r="N136" i="9" s="1"/>
  <c r="D146" i="9" a="1"/>
  <c r="D146" i="9" s="1"/>
  <c r="D151" i="9"/>
  <c r="D152" i="9"/>
  <c r="D153" i="9"/>
  <c r="N126" i="9" a="1"/>
  <c r="N126" i="9" s="1"/>
  <c r="N128" i="9"/>
  <c r="N129" i="9"/>
  <c r="N130" i="9"/>
  <c r="N131" i="9"/>
  <c r="N132" i="9"/>
  <c r="N133" i="9"/>
  <c r="I126" i="9" a="1"/>
  <c r="I126" i="9" s="1"/>
  <c r="I127" i="9"/>
  <c r="I128" i="9"/>
  <c r="I129" i="9"/>
  <c r="I130" i="9"/>
  <c r="I131" i="9"/>
  <c r="I132" i="9"/>
  <c r="I133" i="9"/>
  <c r="I135" i="9"/>
  <c r="D126" i="9" a="1"/>
  <c r="D126" i="9" s="1"/>
  <c r="D127" i="9"/>
  <c r="D128" i="9"/>
  <c r="D129" i="9"/>
  <c r="D130" i="9"/>
  <c r="D131" i="9"/>
  <c r="D132" i="9"/>
  <c r="D133" i="9"/>
  <c r="D135" i="9"/>
  <c r="N106" i="9" a="1"/>
  <c r="N106" i="9" s="1"/>
  <c r="N108" i="9"/>
  <c r="N109" i="9"/>
  <c r="N110" i="9"/>
  <c r="N111" i="9"/>
  <c r="N112" i="9"/>
  <c r="N113" i="9"/>
  <c r="I106" i="9" a="1"/>
  <c r="I106" i="9" s="1"/>
  <c r="I107" i="9"/>
  <c r="I108" i="9"/>
  <c r="I109" i="9"/>
  <c r="I110" i="9"/>
  <c r="I111" i="9"/>
  <c r="I112" i="9"/>
  <c r="I113" i="9"/>
  <c r="I115" i="9"/>
  <c r="D106" i="9" a="1"/>
  <c r="D106" i="9" s="1"/>
  <c r="D107" i="9"/>
  <c r="D108" i="9"/>
  <c r="D109" i="9"/>
  <c r="D110" i="9"/>
  <c r="D111" i="9"/>
  <c r="D112" i="9"/>
  <c r="D113" i="9"/>
  <c r="D115" i="9"/>
  <c r="N86" i="9" a="1"/>
  <c r="N86" i="9" s="1"/>
  <c r="N88" i="9"/>
  <c r="N89" i="9"/>
  <c r="N90" i="9"/>
  <c r="N91" i="9"/>
  <c r="N92" i="9"/>
  <c r="N93" i="9"/>
  <c r="I86" i="9" a="1"/>
  <c r="I87" i="9" s="1"/>
  <c r="I86" i="9"/>
  <c r="I88" i="9"/>
  <c r="I89" i="9"/>
  <c r="I90" i="9"/>
  <c r="I91" i="9"/>
  <c r="I92" i="9"/>
  <c r="I93" i="9"/>
  <c r="I94" i="9"/>
  <c r="D86" i="9" a="1"/>
  <c r="D86" i="9" s="1"/>
  <c r="D88" i="9"/>
  <c r="D89" i="9"/>
  <c r="D90" i="9"/>
  <c r="D91" i="9"/>
  <c r="D92" i="9"/>
  <c r="D93" i="9"/>
  <c r="N66" i="9" a="1"/>
  <c r="N66" i="9" s="1"/>
  <c r="I66" i="9" a="1"/>
  <c r="I66" i="9" s="1"/>
  <c r="I70" i="9"/>
  <c r="I71" i="9"/>
  <c r="J71" i="9" s="1"/>
  <c r="I72" i="9"/>
  <c r="J73" i="9" s="1"/>
  <c r="I73" i="9"/>
  <c r="D66" i="9" a="1"/>
  <c r="D66" i="9" s="1"/>
  <c r="N46" i="9" a="1"/>
  <c r="N47" i="9" s="1"/>
  <c r="N46" i="9"/>
  <c r="N48" i="9"/>
  <c r="N49" i="9"/>
  <c r="N50" i="9"/>
  <c r="O50" i="9" s="1"/>
  <c r="N51" i="9"/>
  <c r="O51" i="9" s="1"/>
  <c r="N52" i="9"/>
  <c r="O52" i="9" s="1"/>
  <c r="N53" i="9"/>
  <c r="N54" i="9"/>
  <c r="I46" i="9" a="1"/>
  <c r="I46" i="9" s="1"/>
  <c r="I47" i="9"/>
  <c r="I49" i="9"/>
  <c r="I50" i="9"/>
  <c r="I51" i="9"/>
  <c r="I52" i="9"/>
  <c r="J53" i="9" s="1"/>
  <c r="I53" i="9"/>
  <c r="I55" i="9"/>
  <c r="D46" i="9" a="1"/>
  <c r="D46" i="9" s="1"/>
  <c r="D47" i="9"/>
  <c r="D48" i="9"/>
  <c r="E48" i="9" s="1"/>
  <c r="D49" i="9"/>
  <c r="E49" i="9" s="1"/>
  <c r="D50" i="9"/>
  <c r="E50" i="9" s="1"/>
  <c r="D51" i="9"/>
  <c r="E51" i="9" s="1"/>
  <c r="D52" i="9"/>
  <c r="E52" i="9" s="1"/>
  <c r="D53" i="9"/>
  <c r="D55" i="9"/>
  <c r="N26" i="9" a="1"/>
  <c r="N26" i="9" s="1"/>
  <c r="N28" i="9"/>
  <c r="N29" i="9"/>
  <c r="O29" i="9" s="1"/>
  <c r="N30" i="9"/>
  <c r="O30" i="9" s="1"/>
  <c r="N31" i="9"/>
  <c r="O31" i="9" s="1"/>
  <c r="N32" i="9"/>
  <c r="O32" i="9" s="1"/>
  <c r="N33" i="9"/>
  <c r="I26" i="9" a="1"/>
  <c r="I26" i="9" s="1"/>
  <c r="D26" i="9" a="1"/>
  <c r="D26" i="9" s="1"/>
  <c r="D27" i="9"/>
  <c r="D28" i="9"/>
  <c r="E28" i="9" s="1"/>
  <c r="D29" i="9"/>
  <c r="E29" i="9" s="1"/>
  <c r="D30" i="9"/>
  <c r="E30" i="9" s="1"/>
  <c r="D31" i="9"/>
  <c r="E31" i="9" s="1"/>
  <c r="D32" i="9"/>
  <c r="E33" i="9" s="1"/>
  <c r="D33" i="9"/>
  <c r="D35" i="9"/>
  <c r="N5" i="9" a="1"/>
  <c r="N5" i="9" s="1"/>
  <c r="I16" i="9" a="1"/>
  <c r="I16" i="9" s="1"/>
  <c r="I17" i="9" a="1"/>
  <c r="I17" i="9"/>
  <c r="I18" i="9" a="1"/>
  <c r="I18" i="9"/>
  <c r="I19" i="9" a="1"/>
  <c r="I19" i="9" s="1"/>
  <c r="I15" i="9" a="1"/>
  <c r="I15" i="9"/>
  <c r="I5" i="9" a="1"/>
  <c r="I5" i="9" s="1"/>
  <c r="I8" i="9"/>
  <c r="I9" i="9"/>
  <c r="J9" i="9" s="1"/>
  <c r="I10" i="9"/>
  <c r="J10" i="9" s="1"/>
  <c r="I11" i="9"/>
  <c r="J12" i="9" s="1"/>
  <c r="I12" i="9"/>
  <c r="D16" i="9"/>
  <c r="D17" i="9"/>
  <c r="D18" i="9"/>
  <c r="D19" i="9"/>
  <c r="D15" i="9"/>
  <c r="D5" i="9" a="1"/>
  <c r="D5" i="9" s="1"/>
  <c r="D7" i="9"/>
  <c r="D9" i="9"/>
  <c r="D10" i="9"/>
  <c r="E10" i="9" s="1"/>
  <c r="D11" i="9"/>
  <c r="E12" i="9" s="1"/>
  <c r="D12" i="9"/>
  <c r="C9" i="4"/>
  <c r="D9" i="4"/>
  <c r="E9" i="4"/>
  <c r="E13" i="4" s="1"/>
  <c r="F9" i="4"/>
  <c r="G9" i="4"/>
  <c r="H9" i="4"/>
  <c r="I9" i="4"/>
  <c r="J9" i="4"/>
  <c r="K9" i="4"/>
  <c r="B9" i="4"/>
  <c r="C7" i="4"/>
  <c r="D7" i="4"/>
  <c r="E7" i="4"/>
  <c r="F7" i="4"/>
  <c r="F13" i="4" s="1"/>
  <c r="G7" i="4"/>
  <c r="H7" i="4"/>
  <c r="I7" i="4"/>
  <c r="J7" i="4"/>
  <c r="K7" i="4"/>
  <c r="B7" i="4"/>
  <c r="C5" i="4"/>
  <c r="D5" i="4"/>
  <c r="E5" i="4"/>
  <c r="F5" i="4"/>
  <c r="G5" i="4"/>
  <c r="H5" i="4"/>
  <c r="I5" i="4"/>
  <c r="J5" i="4"/>
  <c r="K5" i="4"/>
  <c r="B5" i="4"/>
  <c r="D157" i="9" a="1"/>
  <c r="D158" i="9" a="1"/>
  <c r="D159" i="9" a="1"/>
  <c r="D160" i="9" a="1"/>
  <c r="D156" i="9" a="1"/>
  <c r="B147" i="9"/>
  <c r="B148" i="9" s="1"/>
  <c r="B149" i="9" s="1"/>
  <c r="B150" i="9" s="1"/>
  <c r="B151" i="9" s="1"/>
  <c r="B152" i="9" s="1"/>
  <c r="B153" i="9" s="1"/>
  <c r="B154" i="9" s="1"/>
  <c r="B155" i="9" s="1"/>
  <c r="B156" i="9" s="1"/>
  <c r="C146" i="9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N137" i="9" a="1"/>
  <c r="N138" i="9" a="1"/>
  <c r="N139" i="9" a="1"/>
  <c r="N140" i="9" a="1"/>
  <c r="L127" i="9"/>
  <c r="L128" i="9" s="1"/>
  <c r="L129" i="9" s="1"/>
  <c r="L130" i="9" s="1"/>
  <c r="L131" i="9" s="1"/>
  <c r="L132" i="9" s="1"/>
  <c r="L133" i="9" s="1"/>
  <c r="L134" i="9" s="1"/>
  <c r="L135" i="9" s="1"/>
  <c r="L136" i="9" s="1"/>
  <c r="M126" i="9"/>
  <c r="M127" i="9" s="1"/>
  <c r="M128" i="9" s="1"/>
  <c r="M129" i="9" s="1"/>
  <c r="M130" i="9" s="1"/>
  <c r="M131" i="9" s="1"/>
  <c r="M132" i="9" s="1"/>
  <c r="M133" i="9" s="1"/>
  <c r="M134" i="9" s="1"/>
  <c r="M135" i="9" s="1"/>
  <c r="M136" i="9" s="1"/>
  <c r="M137" i="9" s="1"/>
  <c r="M138" i="9" s="1"/>
  <c r="M139" i="9" s="1"/>
  <c r="M140" i="9" s="1"/>
  <c r="K13" i="4"/>
  <c r="C13" i="4"/>
  <c r="D13" i="4"/>
  <c r="I137" i="9" a="1"/>
  <c r="I138" i="9" a="1"/>
  <c r="I139" i="9" a="1"/>
  <c r="I140" i="9" a="1"/>
  <c r="I136" i="9" a="1"/>
  <c r="G127" i="9"/>
  <c r="G128" i="9" s="1"/>
  <c r="G129" i="9" s="1"/>
  <c r="G130" i="9" s="1"/>
  <c r="G131" i="9" s="1"/>
  <c r="G132" i="9" s="1"/>
  <c r="G133" i="9" s="1"/>
  <c r="G134" i="9" s="1"/>
  <c r="G135" i="9" s="1"/>
  <c r="G136" i="9" s="1"/>
  <c r="H126" i="9"/>
  <c r="H127" i="9" s="1"/>
  <c r="H128" i="9" s="1"/>
  <c r="H129" i="9" s="1"/>
  <c r="H130" i="9" s="1"/>
  <c r="H131" i="9" s="1"/>
  <c r="H132" i="9" s="1"/>
  <c r="H133" i="9" s="1"/>
  <c r="H134" i="9" s="1"/>
  <c r="H135" i="9" s="1"/>
  <c r="H136" i="9" s="1"/>
  <c r="H137" i="9" s="1"/>
  <c r="H138" i="9" s="1"/>
  <c r="H139" i="9" s="1"/>
  <c r="H140" i="9" s="1"/>
  <c r="H28" i="4"/>
  <c r="B19" i="2"/>
  <c r="C16" i="2"/>
  <c r="C19" i="2" s="1"/>
  <c r="D16" i="2"/>
  <c r="D19" i="2" s="1"/>
  <c r="E16" i="2"/>
  <c r="E19" i="2" s="1"/>
  <c r="F16" i="2"/>
  <c r="G16" i="2"/>
  <c r="H16" i="2"/>
  <c r="I16" i="2"/>
  <c r="J16" i="2"/>
  <c r="K16" i="2"/>
  <c r="K19" i="2" s="1"/>
  <c r="C17" i="2"/>
  <c r="D17" i="2"/>
  <c r="E17" i="2"/>
  <c r="F17" i="2"/>
  <c r="F19" i="2" s="1"/>
  <c r="G17" i="2"/>
  <c r="G19" i="2" s="1"/>
  <c r="H17" i="2"/>
  <c r="H19" i="2" s="1"/>
  <c r="I17" i="2"/>
  <c r="I19" i="2" s="1"/>
  <c r="J17" i="2"/>
  <c r="K17" i="2"/>
  <c r="C18" i="2"/>
  <c r="D18" i="2"/>
  <c r="E18" i="2"/>
  <c r="F18" i="2"/>
  <c r="G18" i="2"/>
  <c r="H18" i="2"/>
  <c r="I18" i="2"/>
  <c r="J18" i="2"/>
  <c r="K18" i="2"/>
  <c r="B17" i="2"/>
  <c r="B18" i="2"/>
  <c r="B16" i="2"/>
  <c r="E14" i="2"/>
  <c r="F14" i="2"/>
  <c r="C13" i="2"/>
  <c r="C14" i="2" s="1"/>
  <c r="C22" i="2" s="1"/>
  <c r="D13" i="2"/>
  <c r="D14" i="2" s="1"/>
  <c r="D22" i="2" s="1"/>
  <c r="E13" i="2"/>
  <c r="F13" i="2"/>
  <c r="G13" i="2"/>
  <c r="H13" i="2"/>
  <c r="I13" i="2"/>
  <c r="J13" i="2"/>
  <c r="K13" i="2"/>
  <c r="B13" i="2"/>
  <c r="C10" i="2"/>
  <c r="D10" i="2"/>
  <c r="E10" i="2"/>
  <c r="F10" i="2"/>
  <c r="G10" i="2"/>
  <c r="H10" i="2"/>
  <c r="H14" i="2" s="1"/>
  <c r="H22" i="2" s="1"/>
  <c r="I10" i="2"/>
  <c r="I14" i="2" s="1"/>
  <c r="I22" i="2" s="1"/>
  <c r="J10" i="2"/>
  <c r="J14" i="2" s="1"/>
  <c r="K10" i="2"/>
  <c r="K14" i="2" s="1"/>
  <c r="C11" i="2"/>
  <c r="D11" i="2"/>
  <c r="E11" i="2"/>
  <c r="F11" i="2"/>
  <c r="G11" i="2"/>
  <c r="G14" i="2" s="1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B11" i="2"/>
  <c r="B12" i="2"/>
  <c r="B10" i="2"/>
  <c r="B14" i="2" s="1"/>
  <c r="B22" i="2" s="1"/>
  <c r="C8" i="2"/>
  <c r="D8" i="2"/>
  <c r="E8" i="2"/>
  <c r="F8" i="2"/>
  <c r="G8" i="2"/>
  <c r="H8" i="2"/>
  <c r="I8" i="2"/>
  <c r="J8" i="2"/>
  <c r="K8" i="2"/>
  <c r="B8" i="2"/>
  <c r="C7" i="2"/>
  <c r="D7" i="2"/>
  <c r="E7" i="2"/>
  <c r="F7" i="2"/>
  <c r="G7" i="2"/>
  <c r="H7" i="2"/>
  <c r="I7" i="2"/>
  <c r="J7" i="2"/>
  <c r="K7" i="2"/>
  <c r="B7" i="2"/>
  <c r="C6" i="2"/>
  <c r="D6" i="2"/>
  <c r="E6" i="2"/>
  <c r="F6" i="2"/>
  <c r="G6" i="2"/>
  <c r="H6" i="2"/>
  <c r="I6" i="2"/>
  <c r="J6" i="2"/>
  <c r="K6" i="2"/>
  <c r="B6" i="2"/>
  <c r="C5" i="2"/>
  <c r="D5" i="2"/>
  <c r="E5" i="2"/>
  <c r="F5" i="2"/>
  <c r="G5" i="2"/>
  <c r="H5" i="2"/>
  <c r="I5" i="2"/>
  <c r="J5" i="2"/>
  <c r="K5" i="2"/>
  <c r="B5" i="2"/>
  <c r="E4" i="2"/>
  <c r="F4" i="2"/>
  <c r="G4" i="2"/>
  <c r="H4" i="2"/>
  <c r="I4" i="2"/>
  <c r="J4" i="2"/>
  <c r="K4" i="2"/>
  <c r="B4" i="2"/>
  <c r="C4" i="2"/>
  <c r="D4" i="2"/>
  <c r="D137" i="9" a="1"/>
  <c r="D138" i="9" a="1"/>
  <c r="D139" i="9" a="1"/>
  <c r="D140" i="9" a="1"/>
  <c r="D136" i="9" a="1"/>
  <c r="B127" i="9"/>
  <c r="B128" i="9" s="1"/>
  <c r="B129" i="9" s="1"/>
  <c r="B130" i="9" s="1"/>
  <c r="B131" i="9" s="1"/>
  <c r="B132" i="9" s="1"/>
  <c r="B133" i="9" s="1"/>
  <c r="B134" i="9" s="1"/>
  <c r="B135" i="9" s="1"/>
  <c r="B136" i="9" s="1"/>
  <c r="C126" i="9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N117" i="9" a="1"/>
  <c r="N118" i="9" a="1"/>
  <c r="N119" i="9" a="1"/>
  <c r="N120" i="9" a="1"/>
  <c r="N116" i="9" a="1"/>
  <c r="L107" i="9"/>
  <c r="L108" i="9" s="1"/>
  <c r="L109" i="9" s="1"/>
  <c r="L110" i="9" s="1"/>
  <c r="L111" i="9" s="1"/>
  <c r="L112" i="9" s="1"/>
  <c r="L113" i="9" s="1"/>
  <c r="L114" i="9" s="1"/>
  <c r="L115" i="9" s="1"/>
  <c r="L116" i="9" s="1"/>
  <c r="M106" i="9"/>
  <c r="M107" i="9" s="1"/>
  <c r="M108" i="9" s="1"/>
  <c r="M109" i="9" s="1"/>
  <c r="M110" i="9" s="1"/>
  <c r="M111" i="9" s="1"/>
  <c r="M112" i="9" s="1"/>
  <c r="M113" i="9" s="1"/>
  <c r="M114" i="9" s="1"/>
  <c r="M115" i="9" s="1"/>
  <c r="M116" i="9" s="1"/>
  <c r="M117" i="9" s="1"/>
  <c r="M118" i="9" s="1"/>
  <c r="M119" i="9" s="1"/>
  <c r="M120" i="9" s="1"/>
  <c r="I117" i="9" a="1"/>
  <c r="I118" i="9" a="1"/>
  <c r="I119" i="9" a="1"/>
  <c r="I120" i="9" a="1"/>
  <c r="I116" i="9" a="1"/>
  <c r="G107" i="9"/>
  <c r="G108" i="9" s="1"/>
  <c r="G109" i="9" s="1"/>
  <c r="G110" i="9" s="1"/>
  <c r="G111" i="9" s="1"/>
  <c r="G112" i="9" s="1"/>
  <c r="G113" i="9" s="1"/>
  <c r="G114" i="9" s="1"/>
  <c r="G115" i="9" s="1"/>
  <c r="G116" i="9" s="1"/>
  <c r="H106" i="9"/>
  <c r="H107" i="9" s="1"/>
  <c r="H108" i="9" s="1"/>
  <c r="H109" i="9" s="1"/>
  <c r="H110" i="9" s="1"/>
  <c r="H111" i="9" s="1"/>
  <c r="H112" i="9" s="1"/>
  <c r="H113" i="9" s="1"/>
  <c r="H114" i="9" s="1"/>
  <c r="H115" i="9" s="1"/>
  <c r="H116" i="9" s="1"/>
  <c r="H117" i="9" s="1"/>
  <c r="H118" i="9" s="1"/>
  <c r="H119" i="9" s="1"/>
  <c r="H120" i="9" s="1"/>
  <c r="D117" i="9" a="1"/>
  <c r="D118" i="9" a="1"/>
  <c r="D119" i="9" a="1"/>
  <c r="D120" i="9" a="1"/>
  <c r="D116" i="9" a="1"/>
  <c r="B107" i="9"/>
  <c r="B108" i="9" s="1"/>
  <c r="B109" i="9" s="1"/>
  <c r="B110" i="9" s="1"/>
  <c r="B111" i="9" s="1"/>
  <c r="B112" i="9" s="1"/>
  <c r="B113" i="9" s="1"/>
  <c r="B114" i="9" s="1"/>
  <c r="B115" i="9" s="1"/>
  <c r="B116" i="9" s="1"/>
  <c r="C106" i="9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N97" i="9" a="1"/>
  <c r="N98" i="9" a="1"/>
  <c r="N99" i="9" a="1"/>
  <c r="N100" i="9" a="1"/>
  <c r="N96" i="9" a="1"/>
  <c r="L87" i="9"/>
  <c r="L88" i="9" s="1"/>
  <c r="L89" i="9" s="1"/>
  <c r="L90" i="9" s="1"/>
  <c r="L91" i="9" s="1"/>
  <c r="L92" i="9" s="1"/>
  <c r="L93" i="9" s="1"/>
  <c r="L94" i="9" s="1"/>
  <c r="L95" i="9" s="1"/>
  <c r="L96" i="9" s="1"/>
  <c r="M86" i="9"/>
  <c r="M87" i="9" s="1"/>
  <c r="M88" i="9" s="1"/>
  <c r="M89" i="9" s="1"/>
  <c r="M90" i="9" s="1"/>
  <c r="M91" i="9" s="1"/>
  <c r="M92" i="9" s="1"/>
  <c r="M93" i="9" s="1"/>
  <c r="M94" i="9" s="1"/>
  <c r="M95" i="9" s="1"/>
  <c r="M96" i="9" s="1"/>
  <c r="M97" i="9" s="1"/>
  <c r="M98" i="9" s="1"/>
  <c r="M99" i="9" s="1"/>
  <c r="M100" i="9" s="1"/>
  <c r="I97" i="9" a="1"/>
  <c r="I98" i="9" a="1"/>
  <c r="I99" i="9" a="1"/>
  <c r="I100" i="9" a="1"/>
  <c r="I96" i="9" a="1"/>
  <c r="G87" i="9"/>
  <c r="G88" i="9" s="1"/>
  <c r="G89" i="9" s="1"/>
  <c r="G90" i="9" s="1"/>
  <c r="G91" i="9" s="1"/>
  <c r="G92" i="9" s="1"/>
  <c r="G93" i="9" s="1"/>
  <c r="G94" i="9" s="1"/>
  <c r="G95" i="9" s="1"/>
  <c r="G96" i="9" s="1"/>
  <c r="H86" i="9"/>
  <c r="H87" i="9" s="1"/>
  <c r="H88" i="9" s="1"/>
  <c r="H89" i="9" s="1"/>
  <c r="H90" i="9" s="1"/>
  <c r="H91" i="9" s="1"/>
  <c r="H92" i="9" s="1"/>
  <c r="H93" i="9" s="1"/>
  <c r="H94" i="9" s="1"/>
  <c r="H95" i="9" s="1"/>
  <c r="H96" i="9" s="1"/>
  <c r="H97" i="9" s="1"/>
  <c r="H98" i="9" s="1"/>
  <c r="H99" i="9" s="1"/>
  <c r="H100" i="9" s="1"/>
  <c r="D97" i="9" a="1"/>
  <c r="D98" i="9" a="1"/>
  <c r="D99" i="9" a="1"/>
  <c r="D100" i="9" a="1"/>
  <c r="D96" i="9" a="1"/>
  <c r="B87" i="9"/>
  <c r="B88" i="9" s="1"/>
  <c r="B89" i="9" s="1"/>
  <c r="B90" i="9" s="1"/>
  <c r="B91" i="9" s="1"/>
  <c r="B92" i="9" s="1"/>
  <c r="B93" i="9" s="1"/>
  <c r="B94" i="9" s="1"/>
  <c r="B95" i="9" s="1"/>
  <c r="B96" i="9" s="1"/>
  <c r="C86" i="9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O33" i="9"/>
  <c r="J50" i="9"/>
  <c r="J51" i="9"/>
  <c r="J52" i="9"/>
  <c r="N77" i="9" a="1"/>
  <c r="N78" i="9" a="1"/>
  <c r="N79" i="9" a="1"/>
  <c r="N80" i="9" a="1"/>
  <c r="N76" i="9" a="1"/>
  <c r="L67" i="9"/>
  <c r="L68" i="9" s="1"/>
  <c r="L69" i="9" s="1"/>
  <c r="L70" i="9" s="1"/>
  <c r="L71" i="9" s="1"/>
  <c r="L72" i="9" s="1"/>
  <c r="L73" i="9" s="1"/>
  <c r="L74" i="9" s="1"/>
  <c r="L75" i="9" s="1"/>
  <c r="L76" i="9" s="1"/>
  <c r="M66" i="9"/>
  <c r="M67" i="9" s="1"/>
  <c r="M68" i="9" s="1"/>
  <c r="M69" i="9" s="1"/>
  <c r="M70" i="9" s="1"/>
  <c r="M71" i="9" s="1"/>
  <c r="M72" i="9" s="1"/>
  <c r="M73" i="9" s="1"/>
  <c r="M74" i="9" s="1"/>
  <c r="M75" i="9" s="1"/>
  <c r="M76" i="9" s="1"/>
  <c r="M77" i="9" s="1"/>
  <c r="M78" i="9" s="1"/>
  <c r="M79" i="9" s="1"/>
  <c r="M80" i="9" s="1"/>
  <c r="C37" i="1"/>
  <c r="D37" i="1"/>
  <c r="E37" i="1"/>
  <c r="F37" i="1"/>
  <c r="G37" i="1"/>
  <c r="H37" i="1"/>
  <c r="I37" i="1"/>
  <c r="J37" i="1"/>
  <c r="K37" i="1"/>
  <c r="B37" i="1"/>
  <c r="I77" i="9" a="1"/>
  <c r="I78" i="9" a="1"/>
  <c r="I79" i="9" a="1"/>
  <c r="I80" i="9" a="1"/>
  <c r="I76" i="9" a="1"/>
  <c r="G67" i="9"/>
  <c r="G68" i="9" s="1"/>
  <c r="G69" i="9" s="1"/>
  <c r="G70" i="9" s="1"/>
  <c r="G71" i="9" s="1"/>
  <c r="G72" i="9" s="1"/>
  <c r="G73" i="9" s="1"/>
  <c r="G74" i="9" s="1"/>
  <c r="G75" i="9" s="1"/>
  <c r="G76" i="9" s="1"/>
  <c r="H66" i="9"/>
  <c r="H67" i="9" s="1"/>
  <c r="H68" i="9" s="1"/>
  <c r="H69" i="9" s="1"/>
  <c r="H70" i="9" s="1"/>
  <c r="H71" i="9" s="1"/>
  <c r="H72" i="9" s="1"/>
  <c r="H73" i="9" s="1"/>
  <c r="H74" i="9" s="1"/>
  <c r="H75" i="9" s="1"/>
  <c r="H76" i="9" s="1"/>
  <c r="H77" i="9" s="1"/>
  <c r="H78" i="9" s="1"/>
  <c r="H79" i="9" s="1"/>
  <c r="H80" i="9" s="1"/>
  <c r="D77" i="9" a="1"/>
  <c r="D78" i="9" a="1"/>
  <c r="D79" i="9" a="1"/>
  <c r="D80" i="9" a="1"/>
  <c r="D76" i="9" a="1"/>
  <c r="B67" i="9"/>
  <c r="B68" i="9" s="1"/>
  <c r="B69" i="9" s="1"/>
  <c r="B70" i="9" s="1"/>
  <c r="B71" i="9" s="1"/>
  <c r="B72" i="9" s="1"/>
  <c r="B73" i="9" s="1"/>
  <c r="B74" i="9" s="1"/>
  <c r="B75" i="9" s="1"/>
  <c r="B76" i="9" s="1"/>
  <c r="C66" i="9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I57" i="9" a="1"/>
  <c r="I58" i="9" a="1"/>
  <c r="I59" i="9" a="1"/>
  <c r="I60" i="9" a="1"/>
  <c r="I56" i="9" a="1"/>
  <c r="D56" i="9" a="1"/>
  <c r="G47" i="9"/>
  <c r="G48" i="9" s="1"/>
  <c r="G49" i="9" s="1"/>
  <c r="G50" i="9" s="1"/>
  <c r="G51" i="9" s="1"/>
  <c r="G52" i="9" s="1"/>
  <c r="G53" i="9" s="1"/>
  <c r="G54" i="9" s="1"/>
  <c r="G55" i="9" s="1"/>
  <c r="G56" i="9" s="1"/>
  <c r="H46" i="9"/>
  <c r="H47" i="9" s="1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H58" i="9" s="1"/>
  <c r="H59" i="9" s="1"/>
  <c r="H60" i="9" s="1"/>
  <c r="D57" i="9" a="1"/>
  <c r="D58" i="9" a="1"/>
  <c r="D59" i="9" a="1"/>
  <c r="D60" i="9" a="1"/>
  <c r="B47" i="9"/>
  <c r="B48" i="9" s="1"/>
  <c r="B49" i="9" s="1"/>
  <c r="B50" i="9" s="1"/>
  <c r="B51" i="9" s="1"/>
  <c r="B52" i="9" s="1"/>
  <c r="B53" i="9" s="1"/>
  <c r="B54" i="9" s="1"/>
  <c r="B55" i="9" s="1"/>
  <c r="B56" i="9" s="1"/>
  <c r="C46" i="9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M47" i="9"/>
  <c r="M48" i="9" s="1"/>
  <c r="M49" i="9" s="1"/>
  <c r="M50" i="9" s="1"/>
  <c r="M51" i="9" s="1"/>
  <c r="M52" i="9" s="1"/>
  <c r="M53" i="9" s="1"/>
  <c r="M54" i="9" s="1"/>
  <c r="M55" i="9" s="1"/>
  <c r="M56" i="9" s="1"/>
  <c r="M57" i="9" s="1"/>
  <c r="M58" i="9" s="1"/>
  <c r="M59" i="9" s="1"/>
  <c r="M60" i="9" s="1"/>
  <c r="L47" i="9"/>
  <c r="L48" i="9" s="1"/>
  <c r="L49" i="9" s="1"/>
  <c r="L50" i="9" s="1"/>
  <c r="L51" i="9" s="1"/>
  <c r="L52" i="9" s="1"/>
  <c r="L53" i="9" s="1"/>
  <c r="L54" i="9" s="1"/>
  <c r="L55" i="9" s="1"/>
  <c r="L56" i="9" s="1"/>
  <c r="M46" i="9"/>
  <c r="L27" i="9"/>
  <c r="L28" i="9" s="1"/>
  <c r="L29" i="9" s="1"/>
  <c r="L30" i="9" s="1"/>
  <c r="L31" i="9" s="1"/>
  <c r="L32" i="9" s="1"/>
  <c r="L33" i="9" s="1"/>
  <c r="L34" i="9" s="1"/>
  <c r="L35" i="9" s="1"/>
  <c r="L36" i="9" s="1"/>
  <c r="M26" i="9"/>
  <c r="M27" i="9" s="1"/>
  <c r="M28" i="9" s="1"/>
  <c r="M29" i="9" s="1"/>
  <c r="M30" i="9" s="1"/>
  <c r="M31" i="9" s="1"/>
  <c r="M32" i="9" s="1"/>
  <c r="M33" i="9" s="1"/>
  <c r="M34" i="9" s="1"/>
  <c r="M35" i="9" s="1"/>
  <c r="M36" i="9" s="1"/>
  <c r="M37" i="9" s="1"/>
  <c r="M38" i="9" s="1"/>
  <c r="M39" i="9" s="1"/>
  <c r="M40" i="9" s="1"/>
  <c r="G27" i="9"/>
  <c r="G28" i="9" s="1"/>
  <c r="G29" i="9" s="1"/>
  <c r="G30" i="9" s="1"/>
  <c r="G31" i="9" s="1"/>
  <c r="G32" i="9" s="1"/>
  <c r="G33" i="9" s="1"/>
  <c r="G34" i="9" s="1"/>
  <c r="G35" i="9" s="1"/>
  <c r="G36" i="9" s="1"/>
  <c r="H26" i="9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B27" i="9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C26" i="9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L6" i="9"/>
  <c r="L7" i="9" s="1"/>
  <c r="L8" i="9" s="1"/>
  <c r="L9" i="9" s="1"/>
  <c r="L10" i="9" s="1"/>
  <c r="L11" i="9" s="1"/>
  <c r="L12" i="9" s="1"/>
  <c r="L13" i="9" s="1"/>
  <c r="L14" i="9" s="1"/>
  <c r="L15" i="9" s="1"/>
  <c r="M5" i="9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H5" i="9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C5" i="9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G7" i="9"/>
  <c r="G8" i="9" s="1"/>
  <c r="G9" i="9" s="1"/>
  <c r="G10" i="9" s="1"/>
  <c r="G11" i="9" s="1"/>
  <c r="G12" i="9" s="1"/>
  <c r="G13" i="9" s="1"/>
  <c r="G14" i="9" s="1"/>
  <c r="G15" i="9" s="1"/>
  <c r="G6" i="9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I12" i="16" l="1"/>
  <c r="H14" i="16"/>
  <c r="D150" i="9"/>
  <c r="D148" i="9"/>
  <c r="D155" i="9"/>
  <c r="D147" i="9"/>
  <c r="D149" i="9"/>
  <c r="D154" i="9"/>
  <c r="N135" i="9"/>
  <c r="N127" i="9"/>
  <c r="N134" i="9"/>
  <c r="I134" i="9"/>
  <c r="D134" i="9"/>
  <c r="N115" i="9"/>
  <c r="N107" i="9"/>
  <c r="N114" i="9"/>
  <c r="I114" i="9"/>
  <c r="D114" i="9"/>
  <c r="N95" i="9"/>
  <c r="N87" i="9"/>
  <c r="N94" i="9"/>
  <c r="I95" i="9"/>
  <c r="D95" i="9"/>
  <c r="D87" i="9"/>
  <c r="D94" i="9"/>
  <c r="N73" i="9"/>
  <c r="N71" i="9"/>
  <c r="N70" i="9"/>
  <c r="N69" i="9"/>
  <c r="N68" i="9"/>
  <c r="N75" i="9"/>
  <c r="N67" i="9"/>
  <c r="N72" i="9"/>
  <c r="N74" i="9"/>
  <c r="J72" i="9"/>
  <c r="I69" i="9"/>
  <c r="I68" i="9"/>
  <c r="I75" i="9"/>
  <c r="I67" i="9"/>
  <c r="J67" i="9" s="1"/>
  <c r="I74" i="9"/>
  <c r="J74" i="9" s="1"/>
  <c r="D73" i="9"/>
  <c r="D72" i="9"/>
  <c r="D71" i="9"/>
  <c r="D70" i="9"/>
  <c r="D68" i="9"/>
  <c r="D75" i="9"/>
  <c r="E75" i="9" s="1"/>
  <c r="D67" i="9"/>
  <c r="D69" i="9"/>
  <c r="E69" i="9" s="1"/>
  <c r="D74" i="9"/>
  <c r="E74" i="9" s="1"/>
  <c r="N55" i="9"/>
  <c r="O53" i="9"/>
  <c r="O54" i="9"/>
  <c r="I48" i="9"/>
  <c r="I54" i="9"/>
  <c r="E53" i="9"/>
  <c r="D54" i="9"/>
  <c r="N35" i="9"/>
  <c r="N27" i="9"/>
  <c r="O28" i="9" s="1"/>
  <c r="N34" i="9"/>
  <c r="O34" i="9" s="1"/>
  <c r="I33" i="9"/>
  <c r="I29" i="9"/>
  <c r="I35" i="9"/>
  <c r="J35" i="9" s="1"/>
  <c r="I27" i="9"/>
  <c r="I32" i="9"/>
  <c r="I31" i="9"/>
  <c r="I30" i="9"/>
  <c r="J30" i="9" s="1"/>
  <c r="I28" i="9"/>
  <c r="J28" i="9" s="1"/>
  <c r="I34" i="9"/>
  <c r="J34" i="9" s="1"/>
  <c r="E32" i="9"/>
  <c r="D34" i="9"/>
  <c r="N10" i="9"/>
  <c r="O10" i="9" s="1"/>
  <c r="N9" i="9"/>
  <c r="O9" i="9" s="1"/>
  <c r="N12" i="9"/>
  <c r="N8" i="9"/>
  <c r="N7" i="9"/>
  <c r="N11" i="9"/>
  <c r="O11" i="9" s="1"/>
  <c r="N14" i="9"/>
  <c r="O14" i="9" s="1"/>
  <c r="N6" i="9"/>
  <c r="N13" i="9"/>
  <c r="O13" i="9" s="1"/>
  <c r="J11" i="9"/>
  <c r="I7" i="9"/>
  <c r="I14" i="9"/>
  <c r="I6" i="9"/>
  <c r="I13" i="9"/>
  <c r="J13" i="9" s="1"/>
  <c r="D8" i="9"/>
  <c r="E8" i="9" s="1"/>
  <c r="E11" i="9"/>
  <c r="D14" i="9"/>
  <c r="D6" i="9"/>
  <c r="E7" i="9" s="1"/>
  <c r="D13" i="9"/>
  <c r="E13" i="9" s="1"/>
  <c r="G13" i="4"/>
  <c r="E152" i="9"/>
  <c r="E153" i="9"/>
  <c r="O132" i="9"/>
  <c r="O133" i="9"/>
  <c r="J13" i="4"/>
  <c r="B13" i="4"/>
  <c r="I13" i="4"/>
  <c r="H13" i="4"/>
  <c r="G22" i="2"/>
  <c r="F22" i="2"/>
  <c r="E22" i="2"/>
  <c r="I76" i="9"/>
  <c r="J19" i="2"/>
  <c r="J22" i="2" s="1"/>
  <c r="I77" i="9"/>
  <c r="E149" i="9"/>
  <c r="E147" i="9"/>
  <c r="B157" i="9"/>
  <c r="O127" i="9"/>
  <c r="O135" i="9"/>
  <c r="L137" i="9"/>
  <c r="K28" i="4"/>
  <c r="J28" i="4"/>
  <c r="I28" i="4"/>
  <c r="G137" i="9"/>
  <c r="B137" i="9"/>
  <c r="L117" i="9"/>
  <c r="G117" i="9"/>
  <c r="B117" i="9"/>
  <c r="L97" i="9"/>
  <c r="G97" i="9"/>
  <c r="B97" i="9"/>
  <c r="L77" i="9"/>
  <c r="G77" i="9"/>
  <c r="B77" i="9"/>
  <c r="G57" i="9"/>
  <c r="B57" i="9"/>
  <c r="L57" i="9"/>
  <c r="L37" i="9"/>
  <c r="G37" i="9"/>
  <c r="L16" i="9"/>
  <c r="G16" i="9"/>
  <c r="J12" i="16" l="1"/>
  <c r="I14" i="16"/>
  <c r="J75" i="9"/>
  <c r="J68" i="9"/>
  <c r="J69" i="9"/>
  <c r="J70" i="9"/>
  <c r="E68" i="9"/>
  <c r="E71" i="9"/>
  <c r="E70" i="9"/>
  <c r="E72" i="9"/>
  <c r="E73" i="9"/>
  <c r="O55" i="9"/>
  <c r="O49" i="9"/>
  <c r="O48" i="9"/>
  <c r="J55" i="9"/>
  <c r="J54" i="9"/>
  <c r="J48" i="9"/>
  <c r="J49" i="9"/>
  <c r="E55" i="9"/>
  <c r="E54" i="9"/>
  <c r="O35" i="9"/>
  <c r="J31" i="9"/>
  <c r="J32" i="9"/>
  <c r="J29" i="9"/>
  <c r="J33" i="9"/>
  <c r="E34" i="9"/>
  <c r="E35" i="9"/>
  <c r="O7" i="9"/>
  <c r="O8" i="9"/>
  <c r="O12" i="9"/>
  <c r="J7" i="9"/>
  <c r="J14" i="9"/>
  <c r="J8" i="9"/>
  <c r="E14" i="9"/>
  <c r="E9" i="9"/>
  <c r="E154" i="9"/>
  <c r="D157" i="9"/>
  <c r="N137" i="9"/>
  <c r="O137" i="9" s="1"/>
  <c r="D156" i="9"/>
  <c r="E156" i="9" s="1"/>
  <c r="O129" i="9"/>
  <c r="O134" i="9"/>
  <c r="O136" i="9"/>
  <c r="L37" i="1"/>
  <c r="J76" i="9"/>
  <c r="E6" i="9"/>
  <c r="M37" i="1"/>
  <c r="J77" i="9"/>
  <c r="E155" i="9"/>
  <c r="E150" i="9"/>
  <c r="B158" i="9"/>
  <c r="D158" i="9" s="1"/>
  <c r="E148" i="9"/>
  <c r="E151" i="9"/>
  <c r="L138" i="9"/>
  <c r="N138" i="9" s="1"/>
  <c r="O130" i="9"/>
  <c r="O128" i="9"/>
  <c r="O131" i="9"/>
  <c r="J127" i="9"/>
  <c r="J132" i="9"/>
  <c r="J129" i="9"/>
  <c r="J130" i="9"/>
  <c r="G138" i="9"/>
  <c r="B138" i="9"/>
  <c r="L118" i="9"/>
  <c r="G118" i="9"/>
  <c r="B118" i="9"/>
  <c r="L98" i="9"/>
  <c r="G98" i="9"/>
  <c r="B98" i="9"/>
  <c r="L78" i="9"/>
  <c r="G78" i="9"/>
  <c r="I78" i="9" s="1"/>
  <c r="B78" i="9"/>
  <c r="G58" i="9"/>
  <c r="B58" i="9"/>
  <c r="L58" i="9"/>
  <c r="L38" i="9"/>
  <c r="G38" i="9"/>
  <c r="L17" i="9"/>
  <c r="G17" i="9"/>
  <c r="K12" i="16" l="1"/>
  <c r="K14" i="16" s="1"/>
  <c r="J14" i="16"/>
  <c r="J134" i="9"/>
  <c r="E157" i="9"/>
  <c r="E15" i="9"/>
  <c r="L4" i="1"/>
  <c r="N37" i="1"/>
  <c r="J78" i="9"/>
  <c r="E19" i="9"/>
  <c r="P4" i="1"/>
  <c r="E18" i="9"/>
  <c r="O4" i="1"/>
  <c r="E17" i="9"/>
  <c r="N4" i="1"/>
  <c r="E16" i="9"/>
  <c r="M4" i="1"/>
  <c r="B159" i="9"/>
  <c r="D159" i="9" s="1"/>
  <c r="E158" i="9"/>
  <c r="L139" i="9"/>
  <c r="N139" i="9" s="1"/>
  <c r="O138" i="9"/>
  <c r="I138" i="9"/>
  <c r="N5" i="4" s="1"/>
  <c r="I136" i="9"/>
  <c r="L5" i="4" s="1"/>
  <c r="I137" i="9"/>
  <c r="M5" i="4" s="1"/>
  <c r="J133" i="9"/>
  <c r="J131" i="9"/>
  <c r="J128" i="9"/>
  <c r="J135" i="9"/>
  <c r="I139" i="9"/>
  <c r="O5" i="4" s="1"/>
  <c r="G139" i="9"/>
  <c r="B139" i="9"/>
  <c r="L119" i="9"/>
  <c r="G119" i="9"/>
  <c r="B119" i="9"/>
  <c r="L99" i="9"/>
  <c r="G99" i="9"/>
  <c r="B99" i="9"/>
  <c r="L79" i="9"/>
  <c r="G79" i="9"/>
  <c r="I79" i="9" s="1"/>
  <c r="B79" i="9"/>
  <c r="G59" i="9"/>
  <c r="B59" i="9"/>
  <c r="L59" i="9"/>
  <c r="L39" i="9"/>
  <c r="G39" i="9"/>
  <c r="L18" i="9"/>
  <c r="G18" i="9"/>
  <c r="E35" i="16" l="1"/>
  <c r="E37" i="16" s="1"/>
  <c r="J136" i="9"/>
  <c r="P32" i="8"/>
  <c r="P39" i="8" s="1"/>
  <c r="P4" i="8"/>
  <c r="P34" i="8"/>
  <c r="P41" i="8" s="1"/>
  <c r="O37" i="1"/>
  <c r="J79" i="9"/>
  <c r="Q34" i="8"/>
  <c r="Q41" i="8" s="1"/>
  <c r="Q32" i="8"/>
  <c r="Q39" i="8" s="1"/>
  <c r="Q4" i="8"/>
  <c r="N4" i="8"/>
  <c r="N34" i="8"/>
  <c r="N41" i="8" s="1"/>
  <c r="N32" i="8"/>
  <c r="N39" i="8" s="1"/>
  <c r="N45" i="8"/>
  <c r="M45" i="8"/>
  <c r="O32" i="8"/>
  <c r="O39" i="8" s="1"/>
  <c r="O4" i="8"/>
  <c r="O34" i="8"/>
  <c r="O41" i="8" s="1"/>
  <c r="M34" i="8"/>
  <c r="M41" i="8" s="1"/>
  <c r="M32" i="8"/>
  <c r="M39" i="8" s="1"/>
  <c r="P45" i="8"/>
  <c r="O45" i="8"/>
  <c r="E159" i="9"/>
  <c r="B160" i="9"/>
  <c r="L140" i="9"/>
  <c r="O139" i="9"/>
  <c r="J138" i="9"/>
  <c r="J137" i="9"/>
  <c r="G140" i="9"/>
  <c r="I140" i="9" s="1"/>
  <c r="P5" i="4" s="1"/>
  <c r="J139" i="9"/>
  <c r="B140" i="9"/>
  <c r="L120" i="9"/>
  <c r="G120" i="9"/>
  <c r="B120" i="9"/>
  <c r="L100" i="9"/>
  <c r="G100" i="9"/>
  <c r="B100" i="9"/>
  <c r="L80" i="9"/>
  <c r="G80" i="9"/>
  <c r="I80" i="9" s="1"/>
  <c r="B80" i="9"/>
  <c r="G60" i="9"/>
  <c r="B60" i="9"/>
  <c r="L60" i="9"/>
  <c r="L40" i="9"/>
  <c r="G40" i="9"/>
  <c r="L19" i="9"/>
  <c r="G19" i="9"/>
  <c r="E41" i="16" l="1"/>
  <c r="E43" i="16" s="1"/>
  <c r="G25" i="16"/>
  <c r="Q45" i="8"/>
  <c r="N140" i="9"/>
  <c r="L7" i="4" s="1" a="1"/>
  <c r="D160" i="9"/>
  <c r="P37" i="1"/>
  <c r="J80" i="9"/>
  <c r="J140" i="9"/>
  <c r="C29" i="1"/>
  <c r="D29" i="1"/>
  <c r="E29" i="1"/>
  <c r="F29" i="1"/>
  <c r="G29" i="1"/>
  <c r="H29" i="1"/>
  <c r="I29" i="1"/>
  <c r="J29" i="1"/>
  <c r="K29" i="1"/>
  <c r="C23" i="1"/>
  <c r="C32" i="1" s="1"/>
  <c r="D23" i="1"/>
  <c r="D32" i="1" s="1"/>
  <c r="E23" i="1"/>
  <c r="E32" i="1" s="1"/>
  <c r="F23" i="1"/>
  <c r="F32" i="1" s="1"/>
  <c r="G23" i="1"/>
  <c r="G32" i="1" s="1"/>
  <c r="H23" i="1"/>
  <c r="H32" i="1" s="1"/>
  <c r="I23" i="1"/>
  <c r="I32" i="1" s="1"/>
  <c r="J23" i="1"/>
  <c r="J32" i="1" s="1"/>
  <c r="K23" i="1"/>
  <c r="K32" i="1" s="1"/>
  <c r="B29" i="1"/>
  <c r="B23" i="1"/>
  <c r="B32" i="1" s="1"/>
  <c r="C19" i="1"/>
  <c r="D19" i="1"/>
  <c r="E19" i="1"/>
  <c r="F19" i="1"/>
  <c r="G19" i="1"/>
  <c r="H19" i="1"/>
  <c r="I19" i="1"/>
  <c r="J19" i="1"/>
  <c r="K19" i="1"/>
  <c r="C18" i="1"/>
  <c r="D18" i="1"/>
  <c r="E18" i="1"/>
  <c r="E21" i="1" s="1"/>
  <c r="F18" i="1"/>
  <c r="G18" i="1"/>
  <c r="H18" i="1"/>
  <c r="I18" i="1"/>
  <c r="J18" i="1"/>
  <c r="K18" i="1"/>
  <c r="B19" i="1"/>
  <c r="B18" i="1"/>
  <c r="B21" i="1" s="1"/>
  <c r="C16" i="1"/>
  <c r="D16" i="1"/>
  <c r="E16" i="1"/>
  <c r="F16" i="1"/>
  <c r="G16" i="1"/>
  <c r="H16" i="1"/>
  <c r="I16" i="1"/>
  <c r="J16" i="1"/>
  <c r="K16" i="1"/>
  <c r="C15" i="1"/>
  <c r="D15" i="1"/>
  <c r="E15" i="1"/>
  <c r="F15" i="1"/>
  <c r="G15" i="1"/>
  <c r="H15" i="1"/>
  <c r="I15" i="1"/>
  <c r="J15" i="1"/>
  <c r="K15" i="1"/>
  <c r="B16" i="1"/>
  <c r="B15" i="1"/>
  <c r="C12" i="1"/>
  <c r="D12" i="1"/>
  <c r="E12" i="1"/>
  <c r="F12" i="1"/>
  <c r="G12" i="1"/>
  <c r="H12" i="1"/>
  <c r="I12" i="1"/>
  <c r="J20" i="8" s="1"/>
  <c r="J12" i="1"/>
  <c r="K20" i="8" s="1"/>
  <c r="K12" i="1"/>
  <c r="B12" i="1"/>
  <c r="C9" i="1"/>
  <c r="D9" i="1"/>
  <c r="E9" i="1"/>
  <c r="F9" i="1"/>
  <c r="G9" i="1"/>
  <c r="H9" i="1"/>
  <c r="I9" i="1"/>
  <c r="J9" i="1"/>
  <c r="K9" i="1"/>
  <c r="B9" i="1"/>
  <c r="C6" i="1"/>
  <c r="D6" i="1"/>
  <c r="E6" i="1"/>
  <c r="F6" i="1"/>
  <c r="G6" i="1"/>
  <c r="H6" i="1"/>
  <c r="I6" i="1"/>
  <c r="J6" i="1"/>
  <c r="K6" i="1"/>
  <c r="K58" i="1" s="1"/>
  <c r="B6" i="1"/>
  <c r="C4" i="1"/>
  <c r="C8" i="1" s="1"/>
  <c r="C11" i="1" s="1"/>
  <c r="C14" i="1" s="1"/>
  <c r="D4" i="1"/>
  <c r="E4" i="1"/>
  <c r="F4" i="1"/>
  <c r="G4" i="1"/>
  <c r="H4" i="1"/>
  <c r="I4" i="1"/>
  <c r="J4" i="1"/>
  <c r="K45" i="8" s="1"/>
  <c r="K4" i="1"/>
  <c r="B4" i="1"/>
  <c r="C62" i="1"/>
  <c r="D14" i="8" s="1"/>
  <c r="E6" i="8"/>
  <c r="I46" i="8"/>
  <c r="D46" i="8"/>
  <c r="B6" i="6"/>
  <c r="A1" i="1"/>
  <c r="A1" i="2" s="1"/>
  <c r="A1" i="4" s="1"/>
  <c r="E1" i="6"/>
  <c r="H1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1"/>
  <c r="D3" i="1"/>
  <c r="E3" i="1"/>
  <c r="F3" i="1"/>
  <c r="G3" i="1"/>
  <c r="H3" i="1"/>
  <c r="I3" i="1"/>
  <c r="J3" i="1"/>
  <c r="K3" i="1"/>
  <c r="B3" i="4"/>
  <c r="B3" i="2"/>
  <c r="B3" i="1"/>
  <c r="E160" i="9" l="1"/>
  <c r="L9" i="4" a="1"/>
  <c r="L9" i="4" s="1"/>
  <c r="O140" i="9"/>
  <c r="N7" i="4"/>
  <c r="O7" i="4"/>
  <c r="P7" i="4"/>
  <c r="P13" i="4" s="1"/>
  <c r="M7" i="4"/>
  <c r="M13" i="4" s="1"/>
  <c r="L7" i="4"/>
  <c r="L4" i="8"/>
  <c r="M4" i="8"/>
  <c r="C58" i="1"/>
  <c r="G21" i="1"/>
  <c r="G20" i="8"/>
  <c r="K62" i="1"/>
  <c r="L14" i="8" s="1"/>
  <c r="K33" i="8"/>
  <c r="K40" i="8" s="1"/>
  <c r="H46" i="8"/>
  <c r="G47" i="8"/>
  <c r="F47" i="8"/>
  <c r="D45" i="8"/>
  <c r="E47" i="8"/>
  <c r="D47" i="8"/>
  <c r="J46" i="8"/>
  <c r="L47" i="8"/>
  <c r="K47" i="8"/>
  <c r="G46" i="8"/>
  <c r="L46" i="8"/>
  <c r="K46" i="8"/>
  <c r="F46" i="8"/>
  <c r="E46" i="8"/>
  <c r="J47" i="8"/>
  <c r="H47" i="8"/>
  <c r="I45" i="8"/>
  <c r="J45" i="8"/>
  <c r="I47" i="8"/>
  <c r="D24" i="2"/>
  <c r="C46" i="8"/>
  <c r="C47" i="8"/>
  <c r="C24" i="2"/>
  <c r="H24" i="2"/>
  <c r="I24" i="2"/>
  <c r="B24" i="2"/>
  <c r="G24" i="2"/>
  <c r="K22" i="2"/>
  <c r="K24" i="2" s="1"/>
  <c r="F24" i="2"/>
  <c r="E24" i="2"/>
  <c r="H35" i="8"/>
  <c r="F34" i="8"/>
  <c r="F41" i="8" s="1"/>
  <c r="E33" i="8"/>
  <c r="E40" i="8" s="1"/>
  <c r="L32" i="8"/>
  <c r="L39" i="8" s="1"/>
  <c r="D32" i="8"/>
  <c r="D39" i="8" s="1"/>
  <c r="J27" i="9"/>
  <c r="D62" i="1"/>
  <c r="E14" i="8" s="1"/>
  <c r="J33" i="8"/>
  <c r="J40" i="8" s="1"/>
  <c r="J21" i="8"/>
  <c r="I13" i="8"/>
  <c r="I22" i="8" s="1"/>
  <c r="H13" i="8"/>
  <c r="H22" i="8" s="1"/>
  <c r="D6" i="8"/>
  <c r="B61" i="1"/>
  <c r="F58" i="1"/>
  <c r="L35" i="8"/>
  <c r="G8" i="1"/>
  <c r="G11" i="1" s="1"/>
  <c r="G14" i="1" s="1"/>
  <c r="H25" i="8" s="1"/>
  <c r="E8" i="8"/>
  <c r="H33" i="8"/>
  <c r="H40" i="8" s="1"/>
  <c r="I21" i="1"/>
  <c r="I25" i="1" s="1"/>
  <c r="I21" i="8"/>
  <c r="J35" i="8"/>
  <c r="H21" i="1"/>
  <c r="H25" i="1" s="1"/>
  <c r="H34" i="1" s="1"/>
  <c r="H35" i="1" s="1"/>
  <c r="I26" i="8" s="1"/>
  <c r="H21" i="8"/>
  <c r="D58" i="1"/>
  <c r="D20" i="8"/>
  <c r="K21" i="1"/>
  <c r="D33" i="8"/>
  <c r="D40" i="8" s="1"/>
  <c r="F21" i="8"/>
  <c r="K32" i="8"/>
  <c r="K39" i="8" s="1"/>
  <c r="D35" i="8"/>
  <c r="J8" i="1"/>
  <c r="J11" i="1" s="1"/>
  <c r="J14" i="1" s="1"/>
  <c r="J32" i="8"/>
  <c r="J39" i="8" s="1"/>
  <c r="K8" i="1"/>
  <c r="K11" i="1" s="1"/>
  <c r="K14" i="1" s="1"/>
  <c r="L25" i="8" s="1"/>
  <c r="I20" i="8"/>
  <c r="L21" i="8"/>
  <c r="D21" i="8"/>
  <c r="I32" i="8"/>
  <c r="I39" i="8" s="1"/>
  <c r="E34" i="8"/>
  <c r="E41" i="8" s="1"/>
  <c r="L45" i="8"/>
  <c r="C20" i="8"/>
  <c r="E20" i="8"/>
  <c r="F35" i="8"/>
  <c r="B62" i="1"/>
  <c r="C14" i="8" s="1"/>
  <c r="L20" i="8"/>
  <c r="L6" i="8"/>
  <c r="C21" i="1"/>
  <c r="D27" i="8" s="1"/>
  <c r="E35" i="8"/>
  <c r="K61" i="1"/>
  <c r="D21" i="1"/>
  <c r="D25" i="1" s="1"/>
  <c r="L34" i="8"/>
  <c r="L41" i="8" s="1"/>
  <c r="C61" i="1"/>
  <c r="E21" i="8"/>
  <c r="K34" i="8"/>
  <c r="K41" i="8" s="1"/>
  <c r="G6" i="8"/>
  <c r="G4" i="8"/>
  <c r="H58" i="1"/>
  <c r="I8" i="1"/>
  <c r="I11" i="1" s="1"/>
  <c r="I14" i="1" s="1"/>
  <c r="J29" i="8" s="1"/>
  <c r="H20" i="8"/>
  <c r="K21" i="8"/>
  <c r="L33" i="8"/>
  <c r="L40" i="8" s="1"/>
  <c r="D34" i="8"/>
  <c r="D41" i="8" s="1"/>
  <c r="H45" i="8"/>
  <c r="D29" i="8"/>
  <c r="D25" i="8"/>
  <c r="C27" i="8"/>
  <c r="B25" i="1"/>
  <c r="B34" i="1" s="1"/>
  <c r="B35" i="1" s="1"/>
  <c r="C26" i="8" s="1"/>
  <c r="K25" i="1"/>
  <c r="L27" i="8"/>
  <c r="G8" i="8"/>
  <c r="D34" i="1"/>
  <c r="D35" i="1" s="1"/>
  <c r="E26" i="8" s="1"/>
  <c r="K29" i="8"/>
  <c r="K25" i="8"/>
  <c r="F8" i="8"/>
  <c r="L29" i="8"/>
  <c r="E25" i="1"/>
  <c r="E34" i="1" s="1"/>
  <c r="E35" i="1" s="1"/>
  <c r="F26" i="8" s="1"/>
  <c r="F27" i="8"/>
  <c r="J8" i="8"/>
  <c r="I8" i="8"/>
  <c r="H8" i="8"/>
  <c r="J25" i="8"/>
  <c r="G25" i="1"/>
  <c r="G34" i="1" s="1"/>
  <c r="G35" i="1" s="1"/>
  <c r="H26" i="8" s="1"/>
  <c r="H27" i="8"/>
  <c r="G36" i="8"/>
  <c r="F13" i="8"/>
  <c r="F22" i="8" s="1"/>
  <c r="F36" i="8"/>
  <c r="G58" i="1"/>
  <c r="F61" i="1"/>
  <c r="J21" i="1"/>
  <c r="E13" i="8"/>
  <c r="E22" i="8" s="1"/>
  <c r="E36" i="8"/>
  <c r="C45" i="8"/>
  <c r="F45" i="8"/>
  <c r="D8" i="8"/>
  <c r="J6" i="8"/>
  <c r="E61" i="1"/>
  <c r="H8" i="1"/>
  <c r="H11" i="1" s="1"/>
  <c r="H14" i="1" s="1"/>
  <c r="G62" i="1"/>
  <c r="H14" i="8" s="1"/>
  <c r="L13" i="8"/>
  <c r="L22" i="8" s="1"/>
  <c r="D13" i="8"/>
  <c r="D22" i="8" s="1"/>
  <c r="C33" i="8"/>
  <c r="H32" i="8"/>
  <c r="H39" i="8" s="1"/>
  <c r="I33" i="8"/>
  <c r="I40" i="8" s="1"/>
  <c r="J34" i="8"/>
  <c r="J41" i="8" s="1"/>
  <c r="K35" i="8"/>
  <c r="L36" i="8"/>
  <c r="D36" i="8"/>
  <c r="E45" i="8"/>
  <c r="G13" i="8"/>
  <c r="G22" i="8" s="1"/>
  <c r="G45" i="8"/>
  <c r="K6" i="8"/>
  <c r="K8" i="8"/>
  <c r="C13" i="8"/>
  <c r="C22" i="8" s="1"/>
  <c r="G21" i="8"/>
  <c r="C32" i="8"/>
  <c r="I6" i="8"/>
  <c r="E58" i="1"/>
  <c r="D61" i="1"/>
  <c r="B58" i="1"/>
  <c r="F62" i="1"/>
  <c r="G14" i="8" s="1"/>
  <c r="K13" i="8"/>
  <c r="K22" i="8" s="1"/>
  <c r="C21" i="8"/>
  <c r="E27" i="8"/>
  <c r="C34" i="8"/>
  <c r="G32" i="8"/>
  <c r="G39" i="8" s="1"/>
  <c r="I34" i="8"/>
  <c r="I41" i="8" s="1"/>
  <c r="K36" i="8"/>
  <c r="D4" i="8"/>
  <c r="H6" i="8"/>
  <c r="F8" i="1"/>
  <c r="F11" i="1" s="1"/>
  <c r="F14" i="1" s="1"/>
  <c r="J13" i="8"/>
  <c r="J22" i="8" s="1"/>
  <c r="F20" i="8"/>
  <c r="C35" i="8"/>
  <c r="F32" i="8"/>
  <c r="F39" i="8" s="1"/>
  <c r="G33" i="8"/>
  <c r="G40" i="8" s="1"/>
  <c r="H34" i="8"/>
  <c r="H41" i="8" s="1"/>
  <c r="I35" i="8"/>
  <c r="J36" i="8"/>
  <c r="B8" i="1"/>
  <c r="B11" i="1" s="1"/>
  <c r="B14" i="1" s="1"/>
  <c r="E8" i="1"/>
  <c r="E11" i="1" s="1"/>
  <c r="E14" i="1" s="1"/>
  <c r="F6" i="8"/>
  <c r="F21" i="1"/>
  <c r="C36" i="8"/>
  <c r="E32" i="8"/>
  <c r="E39" i="8" s="1"/>
  <c r="F33" i="8"/>
  <c r="F40" i="8" s="1"/>
  <c r="G34" i="8"/>
  <c r="G41" i="8" s="1"/>
  <c r="I36" i="8"/>
  <c r="F4" i="8"/>
  <c r="E4" i="8"/>
  <c r="E62" i="1"/>
  <c r="F14" i="8" s="1"/>
  <c r="G61" i="1"/>
  <c r="D8" i="1"/>
  <c r="D11" i="1" s="1"/>
  <c r="D14" i="1" s="1"/>
  <c r="G35" i="8"/>
  <c r="H36" i="8"/>
  <c r="V13" i="8"/>
  <c r="L8" i="8"/>
  <c r="H62" i="1"/>
  <c r="I14" i="8" s="1"/>
  <c r="K4" i="8"/>
  <c r="J61" i="1"/>
  <c r="I4" i="8"/>
  <c r="I61" i="1"/>
  <c r="J62" i="1"/>
  <c r="K14" i="8" s="1"/>
  <c r="H4" i="8"/>
  <c r="J58" i="1"/>
  <c r="H61" i="1"/>
  <c r="I62" i="1"/>
  <c r="J14" i="8" s="1"/>
  <c r="J4" i="8"/>
  <c r="I58" i="1"/>
  <c r="C60" i="1"/>
  <c r="D11" i="8" s="1"/>
  <c r="J60" i="1"/>
  <c r="K11" i="8" s="1"/>
  <c r="I60" i="1"/>
  <c r="J11" i="8" s="1"/>
  <c r="K7" i="8"/>
  <c r="E1" i="2"/>
  <c r="H33" i="1"/>
  <c r="E1" i="4"/>
  <c r="L13" i="4" l="1"/>
  <c r="O13" i="4"/>
  <c r="N13" i="4"/>
  <c r="G60" i="1"/>
  <c r="H11" i="8" s="1"/>
  <c r="J27" i="8"/>
  <c r="V46" i="8"/>
  <c r="D42" i="8"/>
  <c r="U46" i="8"/>
  <c r="U47" i="8"/>
  <c r="J24" i="2"/>
  <c r="V47" i="8"/>
  <c r="O67" i="9"/>
  <c r="O74" i="9"/>
  <c r="O75" i="9"/>
  <c r="O68" i="9"/>
  <c r="O69" i="9"/>
  <c r="O72" i="9"/>
  <c r="O73" i="9"/>
  <c r="O70" i="9"/>
  <c r="O71" i="9"/>
  <c r="H28" i="8"/>
  <c r="L42" i="8"/>
  <c r="O89" i="9"/>
  <c r="O92" i="9"/>
  <c r="O94" i="9"/>
  <c r="O95" i="9"/>
  <c r="J110" i="9"/>
  <c r="J115" i="9"/>
  <c r="J108" i="9"/>
  <c r="J113" i="9"/>
  <c r="O111" i="9"/>
  <c r="O109" i="9"/>
  <c r="E129" i="9"/>
  <c r="E132" i="9"/>
  <c r="E134" i="9"/>
  <c r="E93" i="9"/>
  <c r="E95" i="9"/>
  <c r="E90" i="9"/>
  <c r="E88" i="9"/>
  <c r="K42" i="8"/>
  <c r="F28" i="8"/>
  <c r="I27" i="1"/>
  <c r="I27" i="8"/>
  <c r="I28" i="8" s="1"/>
  <c r="O27" i="9"/>
  <c r="E47" i="9"/>
  <c r="E27" i="9"/>
  <c r="H29" i="8"/>
  <c r="J47" i="9"/>
  <c r="F42" i="8"/>
  <c r="O47" i="9"/>
  <c r="I37" i="9"/>
  <c r="I39" i="9"/>
  <c r="I38" i="9"/>
  <c r="J38" i="9" s="1"/>
  <c r="I40" i="9"/>
  <c r="J40" i="9" s="1"/>
  <c r="I36" i="9"/>
  <c r="J36" i="9" s="1"/>
  <c r="C25" i="1"/>
  <c r="C34" i="1" s="1"/>
  <c r="C35" i="1" s="1"/>
  <c r="D26" i="8" s="1"/>
  <c r="D28" i="8" s="1"/>
  <c r="E42" i="8"/>
  <c r="J42" i="8"/>
  <c r="H60" i="1"/>
  <c r="I11" i="8" s="1"/>
  <c r="E67" i="9"/>
  <c r="K34" i="1"/>
  <c r="K35" i="1" s="1"/>
  <c r="L26" i="8" s="1"/>
  <c r="L28" i="8" s="1"/>
  <c r="C63" i="1"/>
  <c r="D15" i="8" s="1"/>
  <c r="U14" i="8"/>
  <c r="I42" i="8"/>
  <c r="H42" i="8"/>
  <c r="D60" i="1"/>
  <c r="E11" i="8" s="1"/>
  <c r="G42" i="8"/>
  <c r="U13" i="8"/>
  <c r="V20" i="8"/>
  <c r="V22" i="8"/>
  <c r="U22" i="8"/>
  <c r="E33" i="1"/>
  <c r="E27" i="1"/>
  <c r="C28" i="8"/>
  <c r="C41" i="8"/>
  <c r="V34" i="8"/>
  <c r="U34" i="8"/>
  <c r="V8" i="8"/>
  <c r="U8" i="8"/>
  <c r="C29" i="8"/>
  <c r="C25" i="8"/>
  <c r="C40" i="8"/>
  <c r="U33" i="8"/>
  <c r="V33" i="8"/>
  <c r="H27" i="1"/>
  <c r="G29" i="8"/>
  <c r="G25" i="8"/>
  <c r="U21" i="8"/>
  <c r="V21" i="8"/>
  <c r="F33" i="1"/>
  <c r="U20" i="8"/>
  <c r="V14" i="8"/>
  <c r="V35" i="8"/>
  <c r="U35" i="8"/>
  <c r="F25" i="8"/>
  <c r="F29" i="8"/>
  <c r="C39" i="8"/>
  <c r="U32" i="8"/>
  <c r="V32" i="8"/>
  <c r="U45" i="8"/>
  <c r="V45" i="8"/>
  <c r="E28" i="8"/>
  <c r="G27" i="8"/>
  <c r="F25" i="1"/>
  <c r="G27" i="1" s="1"/>
  <c r="U6" i="8"/>
  <c r="V6" i="8"/>
  <c r="E29" i="8"/>
  <c r="E25" i="8"/>
  <c r="V36" i="8"/>
  <c r="U36" i="8"/>
  <c r="I25" i="8"/>
  <c r="I29" i="8"/>
  <c r="J25" i="1"/>
  <c r="K27" i="1" s="1"/>
  <c r="K27" i="8"/>
  <c r="I34" i="1"/>
  <c r="I35" i="1" s="1"/>
  <c r="J26" i="8" s="1"/>
  <c r="J28" i="8" s="1"/>
  <c r="V4" i="8"/>
  <c r="U4" i="8"/>
  <c r="I7" i="8"/>
  <c r="H63" i="1"/>
  <c r="I15" i="8" s="1"/>
  <c r="K63" i="1"/>
  <c r="L15" i="8" s="1"/>
  <c r="L7" i="8"/>
  <c r="G63" i="1"/>
  <c r="H15" i="8" s="1"/>
  <c r="H7" i="8"/>
  <c r="E7" i="8"/>
  <c r="D63" i="1"/>
  <c r="E15" i="8" s="1"/>
  <c r="J7" i="8"/>
  <c r="I63" i="1"/>
  <c r="J15" i="8" s="1"/>
  <c r="E63" i="1"/>
  <c r="F15" i="8" s="1"/>
  <c r="F7" i="8"/>
  <c r="G7" i="8"/>
  <c r="F63" i="1"/>
  <c r="G15" i="8" s="1"/>
  <c r="J63" i="1"/>
  <c r="K15" i="8" s="1"/>
  <c r="B63" i="1"/>
  <c r="C15" i="8" s="1"/>
  <c r="D7" i="8"/>
  <c r="K60" i="1"/>
  <c r="L11" i="8" s="1"/>
  <c r="B60" i="1"/>
  <c r="C11" i="8" s="1"/>
  <c r="G33" i="1"/>
  <c r="B33" i="1"/>
  <c r="F60" i="1"/>
  <c r="G11" i="8" s="1"/>
  <c r="E60" i="1"/>
  <c r="F11" i="8" s="1"/>
  <c r="C33" i="1"/>
  <c r="H28" i="1"/>
  <c r="D33" i="1"/>
  <c r="K33" i="1"/>
  <c r="I33" i="1"/>
  <c r="J33" i="1"/>
  <c r="I28" i="1"/>
  <c r="C59" i="1"/>
  <c r="D12" i="8" s="1"/>
  <c r="D28" i="1"/>
  <c r="J39" i="9" l="1"/>
  <c r="J37" i="9"/>
  <c r="E87" i="9"/>
  <c r="O87" i="9"/>
  <c r="E133" i="9"/>
  <c r="O115" i="9"/>
  <c r="O110" i="9"/>
  <c r="O107" i="9"/>
  <c r="O113" i="9"/>
  <c r="E111" i="9"/>
  <c r="J111" i="9"/>
  <c r="E109" i="9"/>
  <c r="O90" i="9"/>
  <c r="J88" i="9"/>
  <c r="J92" i="9"/>
  <c r="E91" i="9"/>
  <c r="I119" i="9"/>
  <c r="I120" i="9"/>
  <c r="I118" i="9"/>
  <c r="I117" i="9"/>
  <c r="I116" i="9"/>
  <c r="E135" i="9"/>
  <c r="D139" i="9"/>
  <c r="O18" i="2" s="1"/>
  <c r="O19" i="2" s="1"/>
  <c r="P46" i="8" s="1"/>
  <c r="D138" i="9"/>
  <c r="D136" i="9"/>
  <c r="D137" i="9"/>
  <c r="D140" i="9"/>
  <c r="P18" i="2" s="1"/>
  <c r="P19" i="2" s="1"/>
  <c r="Q46" i="8" s="1"/>
  <c r="I99" i="9"/>
  <c r="I98" i="9"/>
  <c r="I100" i="9"/>
  <c r="I97" i="9"/>
  <c r="I96" i="9"/>
  <c r="E127" i="9"/>
  <c r="J91" i="9"/>
  <c r="J90" i="9"/>
  <c r="E110" i="9"/>
  <c r="E130" i="9"/>
  <c r="O114" i="9"/>
  <c r="N120" i="9"/>
  <c r="N119" i="9"/>
  <c r="N118" i="9"/>
  <c r="N116" i="9"/>
  <c r="N117" i="9"/>
  <c r="J114" i="9"/>
  <c r="O93" i="9"/>
  <c r="J95" i="9"/>
  <c r="J94" i="9"/>
  <c r="E112" i="9"/>
  <c r="D120" i="9"/>
  <c r="D117" i="9"/>
  <c r="D119" i="9"/>
  <c r="D116" i="9"/>
  <c r="D118" i="9"/>
  <c r="J89" i="9"/>
  <c r="J87" i="9"/>
  <c r="E108" i="9"/>
  <c r="E107" i="9"/>
  <c r="J109" i="9"/>
  <c r="E115" i="9"/>
  <c r="E94" i="9"/>
  <c r="E92" i="9"/>
  <c r="E128" i="9"/>
  <c r="O108" i="9"/>
  <c r="J112" i="9"/>
  <c r="O91" i="9"/>
  <c r="E114" i="9"/>
  <c r="E113" i="9"/>
  <c r="E89" i="9"/>
  <c r="D99" i="9"/>
  <c r="D98" i="9"/>
  <c r="D100" i="9"/>
  <c r="D96" i="9"/>
  <c r="D97" i="9"/>
  <c r="E131" i="9"/>
  <c r="O112" i="9"/>
  <c r="J107" i="9"/>
  <c r="O88" i="9"/>
  <c r="N99" i="9"/>
  <c r="N96" i="9"/>
  <c r="N100" i="9"/>
  <c r="N98" i="9"/>
  <c r="N97" i="9"/>
  <c r="J93" i="9"/>
  <c r="N79" i="9"/>
  <c r="N78" i="9"/>
  <c r="N80" i="9"/>
  <c r="N76" i="9"/>
  <c r="N77" i="9"/>
  <c r="N58" i="9"/>
  <c r="N57" i="9"/>
  <c r="N59" i="9"/>
  <c r="O59" i="9" s="1"/>
  <c r="N60" i="9"/>
  <c r="O60" i="9" s="1"/>
  <c r="N56" i="9"/>
  <c r="O56" i="9" s="1"/>
  <c r="D58" i="9"/>
  <c r="D60" i="9"/>
  <c r="E60" i="9" s="1"/>
  <c r="D56" i="9"/>
  <c r="E56" i="9" s="1"/>
  <c r="D59" i="9"/>
  <c r="U27" i="8"/>
  <c r="N9" i="1"/>
  <c r="I60" i="9"/>
  <c r="J60" i="9" s="1"/>
  <c r="I58" i="9"/>
  <c r="I59" i="9"/>
  <c r="I57" i="9"/>
  <c r="J57" i="9" s="1"/>
  <c r="I56" i="9"/>
  <c r="J56" i="9" s="1"/>
  <c r="D57" i="9"/>
  <c r="M9" i="1"/>
  <c r="N39" i="9"/>
  <c r="N40" i="9"/>
  <c r="O40" i="9" s="1"/>
  <c r="N36" i="9"/>
  <c r="N37" i="9"/>
  <c r="N38" i="9"/>
  <c r="O38" i="9" s="1"/>
  <c r="L9" i="1"/>
  <c r="P9" i="1"/>
  <c r="O9" i="1"/>
  <c r="D27" i="1"/>
  <c r="D40" i="9"/>
  <c r="D36" i="9"/>
  <c r="E36" i="9" s="1"/>
  <c r="D37" i="9"/>
  <c r="E37" i="9" s="1"/>
  <c r="D38" i="9"/>
  <c r="E38" i="9" s="1"/>
  <c r="D39" i="9"/>
  <c r="D78" i="9"/>
  <c r="D77" i="9"/>
  <c r="D79" i="9"/>
  <c r="D80" i="9"/>
  <c r="E80" i="9" s="1"/>
  <c r="D76" i="9"/>
  <c r="E76" i="9" s="1"/>
  <c r="C27" i="1"/>
  <c r="V27" i="8"/>
  <c r="V11" i="8"/>
  <c r="U11" i="8"/>
  <c r="V7" i="8"/>
  <c r="U7" i="8"/>
  <c r="C42" i="8"/>
  <c r="U39" i="8"/>
  <c r="V39" i="8"/>
  <c r="U15" i="8"/>
  <c r="V15" i="8"/>
  <c r="U40" i="8"/>
  <c r="V40" i="8"/>
  <c r="U41" i="8"/>
  <c r="V41" i="8"/>
  <c r="V25" i="8"/>
  <c r="U25" i="8"/>
  <c r="J27" i="1"/>
  <c r="J34" i="1"/>
  <c r="J35" i="1" s="1"/>
  <c r="K26" i="8" s="1"/>
  <c r="K28" i="8" s="1"/>
  <c r="U29" i="8"/>
  <c r="V29" i="8"/>
  <c r="F27" i="1"/>
  <c r="F34" i="1"/>
  <c r="F35" i="1" s="1"/>
  <c r="G26" i="8" s="1"/>
  <c r="F28" i="1"/>
  <c r="J6" i="9"/>
  <c r="J5" i="8"/>
  <c r="I59" i="1"/>
  <c r="J12" i="8" s="1"/>
  <c r="H59" i="1"/>
  <c r="I12" i="8" s="1"/>
  <c r="I5" i="8"/>
  <c r="H5" i="8"/>
  <c r="G59" i="1"/>
  <c r="H12" i="8" s="1"/>
  <c r="J59" i="1"/>
  <c r="K12" i="8" s="1"/>
  <c r="K5" i="8"/>
  <c r="E5" i="8"/>
  <c r="D59" i="1"/>
  <c r="E12" i="8" s="1"/>
  <c r="K59" i="1"/>
  <c r="L12" i="8" s="1"/>
  <c r="L5" i="8"/>
  <c r="B59" i="1"/>
  <c r="C12" i="8" s="1"/>
  <c r="D5" i="8"/>
  <c r="G28" i="1"/>
  <c r="E28" i="1"/>
  <c r="B28" i="1"/>
  <c r="K28" i="1"/>
  <c r="J28" i="1"/>
  <c r="C28" i="1"/>
  <c r="E79" i="9" l="1"/>
  <c r="E77" i="9"/>
  <c r="O57" i="9"/>
  <c r="J59" i="9"/>
  <c r="E57" i="9"/>
  <c r="E59" i="9"/>
  <c r="E40" i="9"/>
  <c r="E78" i="9"/>
  <c r="O58" i="9"/>
  <c r="E39" i="9"/>
  <c r="O37" i="9"/>
  <c r="E58" i="9"/>
  <c r="L12" i="1"/>
  <c r="O36" i="9"/>
  <c r="J58" i="9"/>
  <c r="O39" i="9"/>
  <c r="E136" i="9"/>
  <c r="L18" i="2"/>
  <c r="L19" i="2" s="1"/>
  <c r="M46" i="8" s="1"/>
  <c r="E137" i="9"/>
  <c r="M18" i="2"/>
  <c r="M19" i="2" s="1"/>
  <c r="N46" i="8" s="1"/>
  <c r="E138" i="9"/>
  <c r="N18" i="2"/>
  <c r="N19" i="2" s="1"/>
  <c r="O46" i="8" s="1"/>
  <c r="P7" i="2"/>
  <c r="Q33" i="8" s="1"/>
  <c r="Q40" i="8" s="1"/>
  <c r="Q42" i="8" s="1"/>
  <c r="O100" i="9"/>
  <c r="L4" i="2"/>
  <c r="O76" i="9"/>
  <c r="M6" i="2"/>
  <c r="N47" i="8" s="1"/>
  <c r="J97" i="9"/>
  <c r="O80" i="9"/>
  <c r="P4" i="2"/>
  <c r="O7" i="2"/>
  <c r="P33" i="8" s="1"/>
  <c r="P40" i="8" s="1"/>
  <c r="P42" i="8" s="1"/>
  <c r="O99" i="9"/>
  <c r="N5" i="2"/>
  <c r="E98" i="9"/>
  <c r="P6" i="2"/>
  <c r="Q47" i="8" s="1"/>
  <c r="J100" i="9"/>
  <c r="N4" i="2"/>
  <c r="O36" i="8" s="1"/>
  <c r="O78" i="9"/>
  <c r="O5" i="2"/>
  <c r="E99" i="9"/>
  <c r="N10" i="2"/>
  <c r="O35" i="8" s="1"/>
  <c r="E118" i="9"/>
  <c r="N6" i="2"/>
  <c r="O47" i="8" s="1"/>
  <c r="J98" i="9"/>
  <c r="L12" i="2"/>
  <c r="J116" i="9"/>
  <c r="M4" i="2"/>
  <c r="O77" i="9"/>
  <c r="L5" i="2"/>
  <c r="E96" i="9"/>
  <c r="L6" i="2"/>
  <c r="M47" i="8" s="1"/>
  <c r="J96" i="9"/>
  <c r="L7" i="2"/>
  <c r="M33" i="8" s="1"/>
  <c r="M40" i="8" s="1"/>
  <c r="M42" i="8" s="1"/>
  <c r="O96" i="9"/>
  <c r="P13" i="2"/>
  <c r="O120" i="9"/>
  <c r="L10" i="2"/>
  <c r="M35" i="8" s="1"/>
  <c r="E116" i="9"/>
  <c r="M12" i="2"/>
  <c r="J117" i="9"/>
  <c r="M13" i="2"/>
  <c r="O117" i="9"/>
  <c r="N12" i="2"/>
  <c r="J118" i="9"/>
  <c r="M7" i="2"/>
  <c r="N33" i="8" s="1"/>
  <c r="N40" i="8" s="1"/>
  <c r="N42" i="8" s="1"/>
  <c r="O97" i="9"/>
  <c r="M10" i="2"/>
  <c r="N35" i="8" s="1"/>
  <c r="E117" i="9"/>
  <c r="L13" i="2"/>
  <c r="O116" i="9"/>
  <c r="P12" i="2"/>
  <c r="J120" i="9"/>
  <c r="O13" i="2"/>
  <c r="O119" i="9"/>
  <c r="P5" i="2"/>
  <c r="E100" i="9"/>
  <c r="E139" i="9"/>
  <c r="O79" i="9"/>
  <c r="O4" i="2"/>
  <c r="P36" i="8" s="1"/>
  <c r="O6" i="2"/>
  <c r="P47" i="8" s="1"/>
  <c r="J99" i="9"/>
  <c r="O10" i="2"/>
  <c r="P35" i="8" s="1"/>
  <c r="E119" i="9"/>
  <c r="E140" i="9"/>
  <c r="N7" i="2"/>
  <c r="O33" i="8" s="1"/>
  <c r="O40" i="8" s="1"/>
  <c r="O42" i="8" s="1"/>
  <c r="O98" i="9"/>
  <c r="M5" i="2"/>
  <c r="E97" i="9"/>
  <c r="P10" i="2"/>
  <c r="E120" i="9"/>
  <c r="N13" i="2"/>
  <c r="O118" i="9"/>
  <c r="O12" i="2"/>
  <c r="J119" i="9"/>
  <c r="L29" i="1"/>
  <c r="P29" i="1"/>
  <c r="M12" i="1"/>
  <c r="N16" i="1"/>
  <c r="M29" i="1"/>
  <c r="L19" i="1"/>
  <c r="L15" i="1"/>
  <c r="M6" i="1"/>
  <c r="L6" i="1"/>
  <c r="O29" i="1"/>
  <c r="N29" i="1"/>
  <c r="P12" i="1"/>
  <c r="P15" i="1"/>
  <c r="O12" i="1"/>
  <c r="O19" i="1"/>
  <c r="O15" i="1"/>
  <c r="P16" i="1"/>
  <c r="P6" i="1"/>
  <c r="M19" i="1"/>
  <c r="O6" i="1"/>
  <c r="N19" i="1"/>
  <c r="M15" i="1"/>
  <c r="L16" i="1"/>
  <c r="N12" i="1"/>
  <c r="M16" i="1"/>
  <c r="N6" i="1"/>
  <c r="P19" i="1"/>
  <c r="O16" i="1"/>
  <c r="N15" i="1"/>
  <c r="G28" i="8"/>
  <c r="V26" i="8"/>
  <c r="U26" i="8"/>
  <c r="U42" i="8"/>
  <c r="V42" i="8"/>
  <c r="J15" i="9"/>
  <c r="J17" i="9"/>
  <c r="J18" i="9"/>
  <c r="J19" i="9"/>
  <c r="O6" i="9"/>
  <c r="G5" i="8"/>
  <c r="F59" i="1"/>
  <c r="G12" i="8" s="1"/>
  <c r="F5" i="8"/>
  <c r="U5" i="8" s="1"/>
  <c r="E59" i="1"/>
  <c r="F12" i="8" s="1"/>
  <c r="N61" i="1" l="1"/>
  <c r="O20" i="8"/>
  <c r="P13" i="8"/>
  <c r="P22" i="8" s="1"/>
  <c r="P21" i="8"/>
  <c r="M8" i="1"/>
  <c r="M11" i="1" s="1"/>
  <c r="M58" i="1"/>
  <c r="Q36" i="8"/>
  <c r="L8" i="1"/>
  <c r="L11" i="1" s="1"/>
  <c r="L58" i="1"/>
  <c r="M13" i="8"/>
  <c r="M22" i="8" s="1"/>
  <c r="M21" i="8"/>
  <c r="L61" i="1"/>
  <c r="M20" i="8"/>
  <c r="N36" i="8"/>
  <c r="U12" i="8"/>
  <c r="N21" i="8"/>
  <c r="N13" i="8"/>
  <c r="N22" i="8" s="1"/>
  <c r="P20" i="8"/>
  <c r="O61" i="1"/>
  <c r="O21" i="8"/>
  <c r="O13" i="8"/>
  <c r="O22" i="8" s="1"/>
  <c r="Q21" i="8"/>
  <c r="Q13" i="8"/>
  <c r="Q22" i="8" s="1"/>
  <c r="Q20" i="8"/>
  <c r="P61" i="1"/>
  <c r="J16" i="9"/>
  <c r="M61" i="1"/>
  <c r="N20" i="8"/>
  <c r="P14" i="2"/>
  <c r="P22" i="2" s="1"/>
  <c r="Q35" i="8"/>
  <c r="M36" i="8"/>
  <c r="O8" i="1"/>
  <c r="O11" i="1" s="1"/>
  <c r="O58" i="1"/>
  <c r="N8" i="1"/>
  <c r="N11" i="1" s="1"/>
  <c r="N58" i="1"/>
  <c r="P8" i="1"/>
  <c r="P11" i="1" s="1"/>
  <c r="P58" i="1"/>
  <c r="V5" i="8"/>
  <c r="N14" i="2"/>
  <c r="N22" i="2" s="1"/>
  <c r="P8" i="2"/>
  <c r="P24" i="2" s="1"/>
  <c r="M14" i="2"/>
  <c r="M22" i="2" s="1"/>
  <c r="L14" i="2"/>
  <c r="L22" i="2" s="1"/>
  <c r="L8" i="2"/>
  <c r="N8" i="2"/>
  <c r="O14" i="2"/>
  <c r="O22" i="2" s="1"/>
  <c r="O8" i="2"/>
  <c r="M8" i="2"/>
  <c r="V12" i="8"/>
  <c r="N15" i="9"/>
  <c r="O15" i="9" s="1"/>
  <c r="N16" i="9"/>
  <c r="N17" i="9"/>
  <c r="O17" i="9" s="1"/>
  <c r="N18" i="9"/>
  <c r="N19" i="9"/>
  <c r="O19" i="9" s="1"/>
  <c r="V28" i="8"/>
  <c r="U28" i="8"/>
  <c r="N33" i="1" l="1"/>
  <c r="M33" i="1"/>
  <c r="P33" i="1"/>
  <c r="O14" i="1"/>
  <c r="O60" i="1"/>
  <c r="P11" i="8" s="1"/>
  <c r="L14" i="1"/>
  <c r="L60" i="1"/>
  <c r="M11" i="8" s="1"/>
  <c r="O33" i="1"/>
  <c r="O25" i="1"/>
  <c r="O27" i="1" s="1"/>
  <c r="O18" i="9"/>
  <c r="L33" i="1"/>
  <c r="O16" i="9"/>
  <c r="N24" i="2"/>
  <c r="M14" i="1"/>
  <c r="M60" i="1"/>
  <c r="N11" i="8" s="1"/>
  <c r="P14" i="1"/>
  <c r="P60" i="1"/>
  <c r="Q11" i="8" s="1"/>
  <c r="N14" i="1"/>
  <c r="N60" i="1"/>
  <c r="O11" i="8" s="1"/>
  <c r="O24" i="2"/>
  <c r="M24" i="2"/>
  <c r="L24" i="2"/>
  <c r="M25" i="1"/>
  <c r="L25" i="1"/>
  <c r="P25" i="1"/>
  <c r="N25" i="1"/>
  <c r="N18" i="1" l="1"/>
  <c r="O25" i="8"/>
  <c r="O5" i="8"/>
  <c r="O29" i="8"/>
  <c r="N59" i="1"/>
  <c r="O12" i="8" s="1"/>
  <c r="O28" i="1"/>
  <c r="P18" i="1"/>
  <c r="P59" i="1"/>
  <c r="Q12" i="8" s="1"/>
  <c r="Q25" i="8"/>
  <c r="Q5" i="8"/>
  <c r="Q29" i="8"/>
  <c r="M18" i="1"/>
  <c r="M59" i="1"/>
  <c r="N12" i="8" s="1"/>
  <c r="N25" i="8"/>
  <c r="N5" i="8"/>
  <c r="N29" i="8"/>
  <c r="L18" i="1"/>
  <c r="M25" i="8"/>
  <c r="M5" i="8"/>
  <c r="M29" i="8"/>
  <c r="L59" i="1"/>
  <c r="M12" i="8" s="1"/>
  <c r="O18" i="1"/>
  <c r="P25" i="8"/>
  <c r="P5" i="8"/>
  <c r="P29" i="8"/>
  <c r="O59" i="1"/>
  <c r="P12" i="8" s="1"/>
  <c r="M27" i="1"/>
  <c r="M28" i="1"/>
  <c r="N27" i="1"/>
  <c r="N28" i="1"/>
  <c r="P27" i="1"/>
  <c r="P28" i="1"/>
  <c r="L27" i="1"/>
  <c r="L28" i="1"/>
  <c r="P21" i="1" l="1"/>
  <c r="Q6" i="8"/>
  <c r="P62" i="1"/>
  <c r="Q14" i="8" s="1"/>
  <c r="O21" i="1"/>
  <c r="P6" i="8"/>
  <c r="O62" i="1"/>
  <c r="P14" i="8" s="1"/>
  <c r="M21" i="1"/>
  <c r="N6" i="8"/>
  <c r="M62" i="1"/>
  <c r="N14" i="8" s="1"/>
  <c r="L21" i="1"/>
  <c r="L62" i="1"/>
  <c r="M14" i="8" s="1"/>
  <c r="M6" i="8"/>
  <c r="N21" i="1"/>
  <c r="N62" i="1"/>
  <c r="O14" i="8" s="1"/>
  <c r="O6" i="8"/>
  <c r="N27" i="8" l="1"/>
  <c r="N7" i="8"/>
  <c r="M63" i="1"/>
  <c r="N15" i="8" s="1"/>
  <c r="M23" i="1"/>
  <c r="M32" i="1" s="1"/>
  <c r="O23" i="1"/>
  <c r="O32" i="1" s="1"/>
  <c r="P27" i="8"/>
  <c r="P7" i="8"/>
  <c r="O63" i="1"/>
  <c r="P15" i="8" s="1"/>
  <c r="M27" i="8"/>
  <c r="M7" i="8"/>
  <c r="L63" i="1"/>
  <c r="M15" i="8" s="1"/>
  <c r="L23" i="1"/>
  <c r="L32" i="1" s="1"/>
  <c r="O27" i="8"/>
  <c r="O7" i="8"/>
  <c r="N63" i="1"/>
  <c r="O15" i="8" s="1"/>
  <c r="N23" i="1"/>
  <c r="N32" i="1" s="1"/>
  <c r="Q27" i="8"/>
  <c r="Q7" i="8"/>
  <c r="P63" i="1"/>
  <c r="Q15" i="8" s="1"/>
  <c r="P23" i="1"/>
  <c r="P32" i="1" s="1"/>
  <c r="O34" i="1" l="1"/>
  <c r="O35" i="1" s="1"/>
  <c r="P26" i="8" s="1"/>
  <c r="P28" i="8" s="1"/>
  <c r="P8" i="8"/>
  <c r="N34" i="1"/>
  <c r="N35" i="1" s="1"/>
  <c r="O26" i="8" s="1"/>
  <c r="O28" i="8" s="1"/>
  <c r="O8" i="8"/>
  <c r="M34" i="1"/>
  <c r="M35" i="1" s="1"/>
  <c r="N26" i="8" s="1"/>
  <c r="N28" i="8" s="1"/>
  <c r="N8" i="8"/>
  <c r="P34" i="1"/>
  <c r="P35" i="1" s="1"/>
  <c r="Q26" i="8" s="1"/>
  <c r="Q28" i="8" s="1"/>
  <c r="Q8" i="8"/>
  <c r="L34" i="1"/>
  <c r="L35" i="1" s="1"/>
  <c r="M26" i="8" s="1"/>
  <c r="M28" i="8" s="1"/>
  <c r="M8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<sst xmlns="http://schemas.openxmlformats.org/spreadsheetml/2006/main" count="460" uniqueCount="321">
  <si>
    <t>COMPANY NAME</t>
  </si>
  <si>
    <t>SCREENER.IN</t>
  </si>
  <si>
    <t>Narration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</si>
  <si>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</si>
  <si>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</si>
  <si>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</si>
  <si>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</si>
  <si>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</si>
  <si>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</si>
  <si>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</si>
  <si>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</si>
  <si>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</si>
  <si>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</si>
  <si>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</si>
  <si>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OPM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</si>
  <si>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</si>
  <si>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</si>
  <si>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</si>
  <si>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</si>
  <si>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</si>
  <si>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</si>
  <si>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</si>
  <si>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</si>
  <si>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</si>
  <si>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</si>
  <si>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</si>
  <si>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</si>
  <si>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</si>
  <si>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</si>
  <si>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</si>
  <si>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</si>
  <si>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</si>
  <si>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</si>
  <si>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</si>
  <si>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</si>
  <si>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</si>
  <si>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Price</t>
  </si>
  <si>
    <t>LATEST VERSION</t>
  </si>
  <si>
    <t>CURRENT VERSION</t>
  </si>
  <si>
    <t>INFOSYS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</si>
  <si>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</si>
  <si>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</si>
  <si>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</si>
  <si>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</si>
  <si>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</si>
  <si>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</si>
  <si>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</si>
  <si>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</si>
  <si>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</si>
  <si>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</si>
  <si>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</si>
  <si>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</si>
  <si>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</si>
  <si>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</si>
  <si>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</si>
  <si>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</si>
  <si>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</si>
  <si>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</si>
  <si>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</si>
  <si>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</si>
  <si>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</si>
  <si>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SG&amp;A</t>
  </si>
  <si>
    <t>EBITDA</t>
  </si>
  <si>
    <t>GROSS MARGIN</t>
  </si>
  <si>
    <t>NO. OF EQUITY SHARE</t>
  </si>
  <si>
    <t>DIVIDEND PER SHARE</t>
  </si>
  <si>
    <t>EPS GROWTH%</t>
  </si>
  <si>
    <t>DIVIDEND PAYOUT RATIO</t>
  </si>
  <si>
    <t>RETAINED EARNINGS</t>
  </si>
  <si>
    <t>EXPENSES % REVENUE</t>
  </si>
  <si>
    <t>EBITDA MARGIN</t>
  </si>
  <si>
    <t>GROSS MARGIN %</t>
  </si>
  <si>
    <t>SG&amp;A %</t>
  </si>
  <si>
    <t>PROBIT BEFORE TAX %</t>
  </si>
  <si>
    <t>NET PROFIT%</t>
  </si>
  <si>
    <t>TOTAL LIABILITIES</t>
  </si>
  <si>
    <t>FIXED ASSESTS NET BLOCK</t>
  </si>
  <si>
    <t>TOTAL NON CURRENT ASSESTS</t>
  </si>
  <si>
    <t>TOTAL CURRENT ASSESTS</t>
  </si>
  <si>
    <t>TOTAL ASSESTS</t>
  </si>
  <si>
    <t>CHECK</t>
  </si>
  <si>
    <t>CASH  FROM OPERATING ACTIVITIES</t>
  </si>
  <si>
    <t>CASH FLOW FROM INVESTING ACTIVITIES</t>
  </si>
  <si>
    <t>CASH FLOW FROM FINANCING ACTIVITIES</t>
  </si>
  <si>
    <t>NET CASH FLOW</t>
  </si>
  <si>
    <t>RATIO ANALYSIS</t>
  </si>
  <si>
    <t>SALES GROWTH</t>
  </si>
  <si>
    <t>EBITDA GROWTH</t>
  </si>
  <si>
    <t>NET PROFIT GROWTH</t>
  </si>
  <si>
    <t>DIVIDEND GROWTH</t>
  </si>
  <si>
    <t>EBIT MARGIN</t>
  </si>
  <si>
    <t>EBT MARGIN</t>
  </si>
  <si>
    <t>NET PROFIT MARGIN</t>
  </si>
  <si>
    <t>SALES EXPENSES%SALES</t>
  </si>
  <si>
    <t>DEPRECIATION%SALES</t>
  </si>
  <si>
    <t>OPERATING INCOME%SALES</t>
  </si>
  <si>
    <t>RETURN ON CAPITAL EMPLOYEE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</si>
  <si>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</si>
  <si>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</si>
  <si>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</si>
  <si>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</si>
  <si>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</si>
  <si>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</si>
  <si>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</si>
  <si>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ASSEST TURNOVER</t>
  </si>
  <si>
    <t>CAPITAL TURNOVER RATIO</t>
  </si>
  <si>
    <t>DEBTOR DAYS</t>
  </si>
  <si>
    <t>PAYABLE DAYS</t>
  </si>
  <si>
    <t>INVENTORY DAYS</t>
  </si>
  <si>
    <t>CASH CONVERSION CYCLE</t>
  </si>
  <si>
    <t>CFO/SALES</t>
  </si>
  <si>
    <t>CFO/TOTAL ASSESTS</t>
  </si>
  <si>
    <t>CFO/TOTAL DEBT</t>
  </si>
  <si>
    <t>-</t>
  </si>
  <si>
    <t>EBT GROWTH</t>
  </si>
  <si>
    <t>MEAN</t>
  </si>
  <si>
    <t>MEDIAN</t>
  </si>
  <si>
    <t>TREND</t>
  </si>
  <si>
    <t>SALES</t>
  </si>
  <si>
    <t>YEAR WEIGHT</t>
  </si>
  <si>
    <t>YEAR</t>
  </si>
  <si>
    <t>EPS GROWTH</t>
  </si>
  <si>
    <t>EXPENSES</t>
  </si>
  <si>
    <t>EXPENSES GROWTH</t>
  </si>
  <si>
    <t>OTHER INCOME</t>
  </si>
  <si>
    <t>OTHER INCOME GROWTH</t>
  </si>
  <si>
    <t>0THER INCOME</t>
  </si>
  <si>
    <t>SG&amp;A GROWTH</t>
  </si>
  <si>
    <t>DEPR.</t>
  </si>
  <si>
    <t>DEPR. GROWTH</t>
  </si>
  <si>
    <t>INTEREST</t>
  </si>
  <si>
    <t>INTEREST GROWTH</t>
  </si>
  <si>
    <t>TAX</t>
  </si>
  <si>
    <t>TAX GROWTH</t>
  </si>
  <si>
    <t>PRICE</t>
  </si>
  <si>
    <t>PRICE GROWTH</t>
  </si>
  <si>
    <t>DIVIDEND AMOUNT</t>
  </si>
  <si>
    <t>DIVI.AMOUNT</t>
  </si>
  <si>
    <t>DIVI.AMOUNT GROWTH</t>
  </si>
  <si>
    <t>EQUITY SHARE CAPITAL</t>
  </si>
  <si>
    <t>E.S.C</t>
  </si>
  <si>
    <t>E.S.C GROWTH</t>
  </si>
  <si>
    <t>RESERVES</t>
  </si>
  <si>
    <t>RESERVES GROWTH</t>
  </si>
  <si>
    <t>BORROWINGS</t>
  </si>
  <si>
    <t>BORROWINGS GROWTH</t>
  </si>
  <si>
    <t>OTHER LIABILITIES</t>
  </si>
  <si>
    <t>OTHER LIABILITIES GROWTH</t>
  </si>
  <si>
    <t>F.A.N.B</t>
  </si>
  <si>
    <t>F.A.N.B GROWTH</t>
  </si>
  <si>
    <t>INVESTMENTS</t>
  </si>
  <si>
    <t>INVESTMENTS GROWTH</t>
  </si>
  <si>
    <t>OTHER ASSESTS</t>
  </si>
  <si>
    <t>OTHER ASSESTS GROWTH</t>
  </si>
  <si>
    <t>CASH &amp;BANK</t>
  </si>
  <si>
    <t>CASH &amp; BANK</t>
  </si>
  <si>
    <t>CASH&amp;BANK GROWTH</t>
  </si>
  <si>
    <t>CASH  FROM INVESTING ACTIVITIES</t>
  </si>
  <si>
    <t>INVESTING</t>
  </si>
  <si>
    <t>INVESTING GROWTH</t>
  </si>
  <si>
    <t>CASH  FROM FINANCING ACTIVITIES</t>
  </si>
  <si>
    <t>FINANCING</t>
  </si>
  <si>
    <t>FINANCING GROWTH</t>
  </si>
  <si>
    <t xml:space="preserve"> LAST 10  HISTORICAL YEARS </t>
  </si>
  <si>
    <t>NET MARGIN</t>
  </si>
  <si>
    <t>Weighted Average Cost of Capital</t>
  </si>
  <si>
    <t>All figures are in INR unless stated otherwise.</t>
  </si>
  <si>
    <t>Peer Comps</t>
  </si>
  <si>
    <t>Debt/</t>
  </si>
  <si>
    <t>Levered</t>
  </si>
  <si>
    <t>Unlevered</t>
  </si>
  <si>
    <t>Name</t>
  </si>
  <si>
    <t>Country</t>
  </si>
  <si>
    <t>Total Debt</t>
  </si>
  <si>
    <t>Total Equity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</si>
  <si>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</si>
  <si>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t>Equity</t>
  </si>
  <si>
    <t>Capital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</si>
  <si>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</si>
  <si>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</si>
  <si>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Average</t>
  </si>
  <si>
    <t>Median</t>
  </si>
  <si>
    <t>Cost of Debt</t>
  </si>
  <si>
    <t>Cost of Equity</t>
  </si>
  <si>
    <t>Pre-tax Cost of Debt</t>
  </si>
  <si>
    <t>Risk Free Rate</t>
  </si>
  <si>
    <t>Tax Rate</t>
  </si>
  <si>
    <t>Equity Risk Premium</t>
  </si>
  <si>
    <t>After Tax Cost of Debt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</si>
  <si>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</si>
  <si>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Capital Structure</t>
  </si>
  <si>
    <t xml:space="preserve">Levered Beta </t>
  </si>
  <si>
    <t>Current</t>
  </si>
  <si>
    <t>Target</t>
  </si>
  <si>
    <t>Comps Median Unlevered Beta</t>
  </si>
  <si>
    <t xml:space="preserve">Target Debt/ Equity  </t>
  </si>
  <si>
    <t>Total Capitalization</t>
  </si>
  <si>
    <t>Levered Beta</t>
  </si>
  <si>
    <t>Debt / Equity</t>
  </si>
  <si>
    <t>1. Tax Rate considered as Marginal Tax Rate for the country</t>
  </si>
  <si>
    <t>2. Levered Beta is based on 5 year monthly data</t>
  </si>
  <si>
    <t>Equity Weight</t>
  </si>
  <si>
    <t>3. Unlevered Beta = Levered Beta/(1+(1-Tax Rate) x Debt/Equity)</t>
  </si>
  <si>
    <t>3. Levered Beta = Unlevered Beta/(1+(1-Tax Rate) x Debt/Equity)</t>
  </si>
  <si>
    <t>Debt Weight</t>
  </si>
  <si>
    <t>WACC</t>
  </si>
  <si>
    <t>#</t>
  </si>
  <si>
    <t>Weighted Average Cost of Capital (WACC)</t>
  </si>
  <si>
    <t>Calculation of ROIC</t>
  </si>
  <si>
    <t>Current Assets</t>
  </si>
  <si>
    <t>Inventories</t>
  </si>
  <si>
    <t>Trade receivables</t>
  </si>
  <si>
    <t>Loans n Advances</t>
  </si>
  <si>
    <t>Other asset items</t>
  </si>
  <si>
    <t>Total Current Assets</t>
  </si>
  <si>
    <t>Current Liabilities</t>
  </si>
  <si>
    <t>Trade Payables</t>
  </si>
  <si>
    <t>Other liability items</t>
  </si>
  <si>
    <t>Total Current Liabilities</t>
  </si>
  <si>
    <t>Net Working Capital</t>
  </si>
  <si>
    <t>Non Current Assets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</si>
  <si>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</si>
  <si>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</si>
  <si>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</si>
  <si>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</si>
  <si>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</si>
  <si>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</si>
  <si>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</si>
  <si>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</si>
  <si>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</si>
  <si>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</si>
  <si>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Net Non Current Assets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</si>
  <si>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</si>
  <si>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</si>
  <si>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</si>
  <si>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</si>
  <si>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</si>
  <si>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</si>
  <si>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</si>
  <si>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</si>
  <si>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</si>
  <si>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</si>
  <si>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</si>
  <si>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</si>
  <si>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</si>
  <si>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</si>
  <si>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Calculation of PV of FCFF</t>
  </si>
  <si>
    <t>EBIT (1-T)</t>
  </si>
  <si>
    <t>Less: Reinvestment Rate</t>
  </si>
  <si>
    <t>Free Cash Flow to Firm</t>
  </si>
  <si>
    <t>Discounting Factor</t>
  </si>
  <si>
    <t>PV of FCFF</t>
  </si>
  <si>
    <t>Expected Growth</t>
  </si>
  <si>
    <t>Terminal Growth</t>
  </si>
  <si>
    <t>Calculation of Terminal Value</t>
  </si>
  <si>
    <t>FCFF (n+1)</t>
  </si>
  <si>
    <t>Terminal Growth Rate</t>
  </si>
  <si>
    <t>Terminal Value</t>
  </si>
  <si>
    <t>Calculation of Enterprise Value</t>
  </si>
  <si>
    <t>PV of Terminal Value</t>
  </si>
  <si>
    <t>Value of Operating Asset</t>
  </si>
  <si>
    <t>Add: Cash</t>
  </si>
  <si>
    <t>Less: Debt</t>
  </si>
  <si>
    <t>Value of Equity</t>
  </si>
  <si>
    <t>No. of Shares</t>
  </si>
  <si>
    <t>Value per Share</t>
  </si>
  <si>
    <t>TCS</t>
  </si>
  <si>
    <t>HCL TECHNOLOGIES</t>
  </si>
  <si>
    <t>WIPRO</t>
  </si>
  <si>
    <t>TECH MAHINDRA</t>
  </si>
  <si>
    <t>ASSUMPTIONS</t>
  </si>
  <si>
    <r>
      <t>FOR FORECASTING OF PROFIT &amp; LOSS, BALANCE SHEET, CASH FLOW I AM USING</t>
    </r>
    <r>
      <rPr>
        <sz val="12"/>
        <color theme="2" tint="-0.499984740745262"/>
        <rFont val="Calibri"/>
        <family val="2"/>
        <scheme val="minor"/>
      </rPr>
      <t xml:space="preserve"> FORECAST</t>
    </r>
    <r>
      <rPr>
        <sz val="11"/>
        <color theme="1"/>
        <rFont val="Calibri"/>
        <family val="2"/>
        <scheme val="minor"/>
      </rPr>
      <t xml:space="preserve"> FUNCTIONS OF EXCEL</t>
    </r>
  </si>
  <si>
    <r>
      <t xml:space="preserve">TAX RATE IS CONSIDERED TO </t>
    </r>
    <r>
      <rPr>
        <sz val="12"/>
        <color theme="2" tint="-0.499984740745262"/>
        <rFont val="Calibri"/>
        <family val="2"/>
        <scheme val="minor"/>
      </rPr>
      <t>27.00%</t>
    </r>
    <r>
      <rPr>
        <sz val="11"/>
        <color theme="1"/>
        <rFont val="Calibri"/>
        <family val="2"/>
        <scheme val="minor"/>
      </rPr>
      <t xml:space="preserve"> FOR ALL FIRMS</t>
    </r>
  </si>
  <si>
    <t>LEVERED BETA FOR ALL FIRMS IS TAKEN FROM GOOGLE (5 YEAR MONTHLY)</t>
  </si>
  <si>
    <r>
      <t>THE PRE TAX COST OF DEBT IS CALCULATED BY DIVIDING THE</t>
    </r>
    <r>
      <rPr>
        <sz val="12"/>
        <color theme="2" tint="-0.499984740745262"/>
        <rFont val="Calibri"/>
        <family val="2"/>
        <scheme val="minor"/>
      </rPr>
      <t xml:space="preserve"> INTEREST EXPENSE</t>
    </r>
    <r>
      <rPr>
        <sz val="11"/>
        <color theme="1"/>
        <rFont val="Calibri"/>
        <family val="2"/>
        <scheme val="minor"/>
      </rPr>
      <t xml:space="preserve"> OF LAST HISTORICAL YEAR  FROM PROFIT &amp; LOSS TO CURRENT</t>
    </r>
    <r>
      <rPr>
        <sz val="12"/>
        <color theme="2" tint="-0.499984740745262"/>
        <rFont val="Calibri"/>
        <family val="2"/>
        <scheme val="minor"/>
      </rPr>
      <t xml:space="preserve">  TOTAL DEBT </t>
    </r>
    <r>
      <rPr>
        <sz val="11"/>
        <color theme="1"/>
        <rFont val="Calibri"/>
        <family val="2"/>
        <scheme val="minor"/>
      </rPr>
      <t>OF COMPANY</t>
    </r>
  </si>
  <si>
    <r>
      <t>RISK FREE RATE ON 10-YEAR GOVERNMENT OF INDIA BOND YIELD IS APPROXIMATLY  6.75%</t>
    </r>
    <r>
      <rPr>
        <sz val="11"/>
        <color theme="1"/>
        <rFont val="Calibri"/>
        <family val="2"/>
        <scheme val="minor"/>
      </rPr>
      <t>.</t>
    </r>
  </si>
  <si>
    <r>
      <t>INFY ANNUAL AVERAGE RETURN IS</t>
    </r>
    <r>
      <rPr>
        <sz val="12"/>
        <color theme="2" tint="-0.499984740745262"/>
        <rFont val="Calibri"/>
        <family val="2"/>
        <scheme val="minor"/>
      </rPr>
      <t xml:space="preserve"> 5.73%</t>
    </r>
  </si>
  <si>
    <t>Corporate actions</t>
  </si>
  <si>
    <t>Equity Capital</t>
  </si>
  <si>
    <r>
      <t>Borrowings </t>
    </r>
    <r>
      <rPr>
        <sz val="11"/>
        <color rgb="FF665EFD"/>
        <rFont val="Calibri"/>
        <family val="2"/>
        <scheme val="minor"/>
      </rPr>
      <t>-</t>
    </r>
  </si>
  <si>
    <t>Lease Liabilities</t>
  </si>
  <si>
    <r>
      <t>Other Liabilities </t>
    </r>
    <r>
      <rPr>
        <sz val="11"/>
        <color rgb="FF665EFD"/>
        <rFont val="Calibri"/>
        <family val="2"/>
        <scheme val="minor"/>
      </rPr>
      <t>-</t>
    </r>
  </si>
  <si>
    <t>Non controlling int</t>
  </si>
  <si>
    <t>Advance from Customers</t>
  </si>
  <si>
    <t>Total Liabilities</t>
  </si>
  <si>
    <r>
      <t>Fixed Assets </t>
    </r>
    <r>
      <rPr>
        <sz val="11"/>
        <color rgb="FF665EFD"/>
        <rFont val="Calibri"/>
        <family val="2"/>
        <scheme val="minor"/>
      </rPr>
      <t>-</t>
    </r>
  </si>
  <si>
    <t>Computers</t>
  </si>
  <si>
    <t>CWIP</t>
  </si>
  <si>
    <r>
      <t>Other Assets </t>
    </r>
    <r>
      <rPr>
        <sz val="11"/>
        <color rgb="FF665EFD"/>
        <rFont val="Calibri"/>
        <family val="2"/>
        <scheme val="minor"/>
      </rPr>
      <t>-</t>
    </r>
  </si>
  <si>
    <t>Cash Equivalents</t>
  </si>
  <si>
    <t>Total Assets</t>
  </si>
  <si>
    <r>
      <t>Cash from Operating Activity </t>
    </r>
    <r>
      <rPr>
        <sz val="11"/>
        <color rgb="FF665EFD"/>
        <rFont val="Calibri"/>
        <family val="2"/>
        <scheme val="minor"/>
      </rPr>
      <t>-</t>
    </r>
  </si>
  <si>
    <t>Profit from operations</t>
  </si>
  <si>
    <t>Payables</t>
  </si>
  <si>
    <t>Loans Advances</t>
  </si>
  <si>
    <t>Other WC items</t>
  </si>
  <si>
    <t>Working capital changes</t>
  </si>
  <si>
    <t>Direct taxes</t>
  </si>
  <si>
    <r>
      <t>Cash from Investing Activity </t>
    </r>
    <r>
      <rPr>
        <sz val="11"/>
        <color rgb="FF665EFD"/>
        <rFont val="Calibri"/>
        <family val="2"/>
        <scheme val="minor"/>
      </rPr>
      <t>-</t>
    </r>
  </si>
  <si>
    <t>Fixed assets purchased</t>
  </si>
  <si>
    <t>Investments purchased</t>
  </si>
  <si>
    <t>Investments sold</t>
  </si>
  <si>
    <t>Interest received</t>
  </si>
  <si>
    <t>Dividends received</t>
  </si>
  <si>
    <t>Acquisition of companies</t>
  </si>
  <si>
    <t>Inter corporate deposits</t>
  </si>
  <si>
    <t>Other investing items</t>
  </si>
  <si>
    <r>
      <t>Cash from Financing Activity </t>
    </r>
    <r>
      <rPr>
        <sz val="11"/>
        <color rgb="FF665EFD"/>
        <rFont val="Calibri"/>
        <family val="2"/>
        <scheme val="minor"/>
      </rPr>
      <t>-</t>
    </r>
  </si>
  <si>
    <t>Proceeds from shares</t>
  </si>
  <si>
    <t>Repayment of borrowings</t>
  </si>
  <si>
    <t>Dividends paid</t>
  </si>
  <si>
    <t>Financial liabilities</t>
  </si>
  <si>
    <t>Other financing items</t>
  </si>
  <si>
    <t>Free Cash Flow</t>
  </si>
  <si>
    <t>CFO/OP</t>
  </si>
  <si>
    <t>Advance From Customers</t>
  </si>
  <si>
    <t>Customers</t>
  </si>
  <si>
    <r>
      <t xml:space="preserve">IN NET CAPEX  I AM ONLY CONSIDERING </t>
    </r>
    <r>
      <rPr>
        <sz val="12"/>
        <color theme="2" tint="-0.499984740745262"/>
        <rFont val="Calibri"/>
        <family val="2"/>
        <scheme val="minor"/>
      </rPr>
      <t>FIXED ASSESTS PURCHASED</t>
    </r>
    <r>
      <rPr>
        <sz val="11"/>
        <color theme="1"/>
        <rFont val="Calibri"/>
        <family val="2"/>
        <scheme val="minor"/>
      </rPr>
      <t xml:space="preserve"> BECAUSE THERE IS DATA AVAILABLE FOR FIXED ASSESTS SOLD</t>
    </r>
  </si>
  <si>
    <r>
      <t>MARGINAL TAX RATE IS CONSIDERED TO</t>
    </r>
    <r>
      <rPr>
        <sz val="12"/>
        <color theme="2" tint="-0.499984740745262"/>
        <rFont val="Calibri"/>
        <family val="2"/>
        <scheme val="minor"/>
      </rPr>
      <t xml:space="preserve"> 25.00%</t>
    </r>
  </si>
  <si>
    <r>
      <t>TERMINAL GROWTH IS</t>
    </r>
    <r>
      <rPr>
        <sz val="12"/>
        <color theme="2" tint="-0.499984740745262"/>
        <rFont val="Calibri"/>
        <family val="2"/>
        <scheme val="minor"/>
      </rPr>
      <t xml:space="preserve"> 5.75%</t>
    </r>
  </si>
  <si>
    <t>SENSITIVITY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</si>
</sst>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yyyy"/>
    <numFmt numFmtId="167" formatCode="yyyy&quot;A&quot;"/>
    <numFmt numFmtId="168" formatCode="yyyy&quot;E&quot;"/>
    <numFmt numFmtId="169" formatCode="#,##0.0"/>
    <numFmt numFmtId="170" formatCode="#,##0.0;\(#,##0.0\);\-"/>
    <numFmt numFmtId="171" formatCode="0.0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scheme val="minor"/>
    </font>
    <font>
      <sz val="11"/>
      <color rgb="FF606F7B"/>
      <name val="Arial"/>
      <family val="2"/>
    </font>
    <font>
      <b/>
      <sz val="11"/>
      <color rgb="FF22222F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rgb="FF3333FF"/>
      <name val="calibri"/>
      <family val="2"/>
    </font>
    <font>
      <i/>
      <sz val="10"/>
      <color theme="1"/>
      <name val="calibri"/>
      <family val="2"/>
    </font>
    <font>
      <i/>
      <sz val="9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Arial Narrow"/>
      <family val="2"/>
    </font>
    <font>
      <sz val="1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275D8"/>
      <name val="Arial"/>
      <family val="2"/>
    </font>
    <font>
      <sz val="11"/>
      <color rgb="FF0275D8"/>
      <name val="Arial"/>
      <family val="2"/>
    </font>
    <font>
      <sz val="28"/>
      <color theme="0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sz val="11"/>
      <color rgb="FF606F7B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665EFD"/>
      <name val="Calibri"/>
      <family val="2"/>
      <scheme val="minor"/>
    </font>
    <font>
      <sz val="11"/>
      <color rgb="FF606F7B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medium">
        <color rgb="FFDBE4F0"/>
      </top>
      <bottom/>
      <diagonal/>
    </border>
  </borders>
  <cellStyleXfs count="15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4" borderId="0" applyNumberFormat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4" fillId="0" borderId="0"/>
    <xf numFmtId="0" fontId="4" fillId="0" borderId="0" applyNumberFormat="0" applyFill="0" applyBorder="0" applyAlignment="0" applyProtection="0"/>
  </cellStyleXfs>
  <cellXfs count="189">
    <xf numFmtId="0" fontId="0" fillId="0" borderId="0" xfId="0"/>
    <xf numFmtId="164" fontId="1" fillId="0" borderId="0" xfId="1" applyFont="1" applyBorder="1"/>
    <xf numFmtId="0" fontId="1" fillId="0" borderId="0" xfId="0" applyFont="1"/>
    <xf numFmtId="0" fontId="6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43" fontId="0" fillId="0" borderId="0" xfId="1" applyNumberFormat="1" applyFont="1" applyBorder="1"/>
    <xf numFmtId="0" fontId="8" fillId="0" borderId="0" xfId="0" applyFont="1"/>
    <xf numFmtId="43" fontId="0" fillId="0" borderId="0" xfId="0" applyNumberFormat="1"/>
    <xf numFmtId="2" fontId="0" fillId="0" borderId="0" xfId="0" applyNumberFormat="1"/>
    <xf numFmtId="0" fontId="9" fillId="6" borderId="1" xfId="0" applyFont="1" applyFill="1" applyBorder="1" applyAlignment="1">
      <alignment horizontal="left" vertical="center" indent="2"/>
    </xf>
    <xf numFmtId="17" fontId="9" fillId="6" borderId="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0" fontId="10" fillId="7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2" xfId="0" applyNumberFormat="1" applyBorder="1"/>
    <xf numFmtId="0" fontId="0" fillId="0" borderId="3" xfId="0" applyBorder="1" applyAlignment="1">
      <alignment horizontal="center"/>
    </xf>
    <xf numFmtId="10" fontId="0" fillId="0" borderId="3" xfId="0" applyNumberFormat="1" applyBorder="1" applyAlignment="1">
      <alignment horizontal="center"/>
    </xf>
    <xf numFmtId="10" fontId="0" fillId="0" borderId="3" xfId="0" applyNumberFormat="1" applyBorder="1"/>
    <xf numFmtId="2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13" fillId="5" borderId="0" xfId="0" applyNumberFormat="1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166" fontId="2" fillId="5" borderId="0" xfId="0" applyNumberFormat="1" applyFont="1" applyFill="1" applyAlignment="1">
      <alignment horizontal="center"/>
    </xf>
    <xf numFmtId="167" fontId="1" fillId="8" borderId="0" xfId="0" applyNumberFormat="1" applyFont="1" applyFill="1" applyAlignment="1">
      <alignment horizontal="center"/>
    </xf>
    <xf numFmtId="0" fontId="1" fillId="9" borderId="0" xfId="0" applyFont="1" applyFill="1" applyAlignment="1">
      <alignment horizontal="center"/>
    </xf>
    <xf numFmtId="168" fontId="1" fillId="9" borderId="0" xfId="0" applyNumberFormat="1" applyFont="1" applyFill="1" applyAlignment="1">
      <alignment horizontal="center"/>
    </xf>
    <xf numFmtId="2" fontId="0" fillId="9" borderId="0" xfId="0" applyNumberFormat="1" applyFill="1" applyAlignment="1">
      <alignment horizontal="center"/>
    </xf>
    <xf numFmtId="10" fontId="0" fillId="9" borderId="0" xfId="0" applyNumberFormat="1" applyFill="1" applyAlignment="1">
      <alignment horizontal="center"/>
    </xf>
    <xf numFmtId="10" fontId="0" fillId="10" borderId="0" xfId="0" applyNumberFormat="1" applyFill="1"/>
    <xf numFmtId="164" fontId="0" fillId="0" borderId="0" xfId="0" applyNumberFormat="1"/>
    <xf numFmtId="164" fontId="1" fillId="0" borderId="0" xfId="1" applyFont="1" applyBorder="1" applyAlignment="1">
      <alignment horizontal="center"/>
    </xf>
    <xf numFmtId="3" fontId="1" fillId="0" borderId="0" xfId="0" applyNumberFormat="1" applyFont="1"/>
    <xf numFmtId="165" fontId="1" fillId="5" borderId="0" xfId="0" applyNumberFormat="1" applyFont="1" applyFill="1" applyAlignment="1">
      <alignment horizontal="center"/>
    </xf>
    <xf numFmtId="164" fontId="1" fillId="9" borderId="0" xfId="1" applyFont="1" applyFill="1" applyBorder="1"/>
    <xf numFmtId="0" fontId="0" fillId="9" borderId="0" xfId="0" applyFill="1"/>
    <xf numFmtId="2" fontId="0" fillId="9" borderId="0" xfId="0" applyNumberFormat="1" applyFill="1"/>
    <xf numFmtId="164" fontId="3" fillId="9" borderId="0" xfId="1" applyFont="1" applyFill="1" applyBorder="1"/>
    <xf numFmtId="43" fontId="0" fillId="9" borderId="0" xfId="0" applyNumberFormat="1" applyFill="1"/>
    <xf numFmtId="0" fontId="1" fillId="9" borderId="0" xfId="0" applyFont="1" applyFill="1"/>
    <xf numFmtId="164" fontId="2" fillId="9" borderId="0" xfId="3" applyNumberFormat="1" applyFont="1" applyFill="1" applyBorder="1"/>
    <xf numFmtId="164" fontId="2" fillId="9" borderId="0" xfId="4" applyNumberFormat="1" applyFont="1" applyFill="1" applyBorder="1"/>
    <xf numFmtId="2" fontId="1" fillId="9" borderId="0" xfId="0" applyNumberFormat="1" applyFont="1" applyFill="1"/>
    <xf numFmtId="10" fontId="0" fillId="9" borderId="0" xfId="0" applyNumberFormat="1" applyFill="1"/>
    <xf numFmtId="0" fontId="8" fillId="9" borderId="0" xfId="0" applyFont="1" applyFill="1"/>
    <xf numFmtId="164" fontId="0" fillId="9" borderId="0" xfId="0" applyNumberFormat="1" applyFill="1"/>
    <xf numFmtId="164" fontId="1" fillId="9" borderId="0" xfId="0" applyNumberFormat="1" applyFont="1" applyFill="1"/>
    <xf numFmtId="164" fontId="1" fillId="9" borderId="0" xfId="1" applyFont="1" applyFill="1" applyBorder="1" applyAlignment="1">
      <alignment horizontal="center"/>
    </xf>
    <xf numFmtId="3" fontId="0" fillId="9" borderId="0" xfId="0" applyNumberFormat="1" applyFill="1"/>
    <xf numFmtId="3" fontId="1" fillId="9" borderId="0" xfId="0" applyNumberFormat="1" applyFont="1" applyFill="1"/>
    <xf numFmtId="10" fontId="0" fillId="9" borderId="2" xfId="0" applyNumberFormat="1" applyFill="1" applyBorder="1" applyAlignment="1">
      <alignment horizontal="center"/>
    </xf>
    <xf numFmtId="10" fontId="0" fillId="9" borderId="3" xfId="0" applyNumberFormat="1" applyFill="1" applyBorder="1" applyAlignment="1">
      <alignment horizontal="center"/>
    </xf>
    <xf numFmtId="0" fontId="0" fillId="9" borderId="0" xfId="0" applyFill="1" applyAlignment="1">
      <alignment horizontal="center"/>
    </xf>
    <xf numFmtId="2" fontId="0" fillId="9" borderId="3" xfId="0" applyNumberFormat="1" applyFill="1" applyBorder="1" applyAlignment="1">
      <alignment horizontal="center"/>
    </xf>
    <xf numFmtId="1" fontId="0" fillId="9" borderId="2" xfId="0" applyNumberFormat="1" applyFill="1" applyBorder="1" applyAlignment="1">
      <alignment horizontal="center"/>
    </xf>
    <xf numFmtId="1" fontId="0" fillId="9" borderId="0" xfId="0" applyNumberFormat="1" applyFill="1" applyAlignment="1">
      <alignment horizontal="center"/>
    </xf>
    <xf numFmtId="0" fontId="0" fillId="9" borderId="2" xfId="0" applyFill="1" applyBorder="1" applyAlignment="1">
      <alignment horizontal="center"/>
    </xf>
    <xf numFmtId="1" fontId="0" fillId="9" borderId="3" xfId="0" applyNumberFormat="1" applyFill="1" applyBorder="1" applyAlignment="1">
      <alignment horizontal="center"/>
    </xf>
    <xf numFmtId="2" fontId="0" fillId="9" borderId="2" xfId="0" applyNumberFormat="1" applyFill="1" applyBorder="1" applyAlignment="1">
      <alignment horizontal="center"/>
    </xf>
    <xf numFmtId="0" fontId="5" fillId="11" borderId="0" xfId="0" applyFont="1" applyFill="1"/>
    <xf numFmtId="0" fontId="14" fillId="0" borderId="0" xfId="6"/>
    <xf numFmtId="0" fontId="15" fillId="0" borderId="0" xfId="6" applyFont="1"/>
    <xf numFmtId="0" fontId="14" fillId="0" borderId="4" xfId="6" applyBorder="1"/>
    <xf numFmtId="0" fontId="14" fillId="0" borderId="5" xfId="6" applyBorder="1" applyAlignment="1">
      <alignment vertical="top"/>
    </xf>
    <xf numFmtId="0" fontId="17" fillId="13" borderId="0" xfId="6" applyFont="1" applyFill="1"/>
    <xf numFmtId="0" fontId="18" fillId="13" borderId="0" xfId="6" applyFont="1" applyFill="1"/>
    <xf numFmtId="0" fontId="14" fillId="13" borderId="0" xfId="6" applyFill="1"/>
    <xf numFmtId="2" fontId="14" fillId="0" borderId="0" xfId="6" applyNumberFormat="1"/>
    <xf numFmtId="0" fontId="19" fillId="0" borderId="0" xfId="6" applyFont="1"/>
    <xf numFmtId="0" fontId="14" fillId="0" borderId="4" xfId="6" applyBorder="1" applyAlignment="1">
      <alignment horizontal="right"/>
    </xf>
    <xf numFmtId="0" fontId="14" fillId="0" borderId="5" xfId="6" applyBorder="1" applyAlignment="1">
      <alignment horizontal="right" vertical="top"/>
    </xf>
    <xf numFmtId="2" fontId="19" fillId="0" borderId="0" xfId="6" applyNumberFormat="1" applyFont="1"/>
    <xf numFmtId="10" fontId="14" fillId="0" borderId="0" xfId="7" applyNumberFormat="1" applyFont="1"/>
    <xf numFmtId="10" fontId="19" fillId="0" borderId="0" xfId="6" applyNumberFormat="1" applyFont="1" applyAlignment="1">
      <alignment vertical="top"/>
    </xf>
    <xf numFmtId="10" fontId="14" fillId="0" borderId="0" xfId="6" applyNumberFormat="1"/>
    <xf numFmtId="0" fontId="15" fillId="0" borderId="3" xfId="6" applyFont="1" applyBorder="1"/>
    <xf numFmtId="10" fontId="14" fillId="14" borderId="0" xfId="7" applyNumberFormat="1" applyFont="1" applyFill="1" applyAlignment="1"/>
    <xf numFmtId="2" fontId="14" fillId="14" borderId="0" xfId="6" applyNumberFormat="1" applyFill="1"/>
    <xf numFmtId="0" fontId="14" fillId="0" borderId="3" xfId="6" applyBorder="1"/>
    <xf numFmtId="0" fontId="15" fillId="0" borderId="3" xfId="6" applyFont="1" applyBorder="1" applyAlignment="1">
      <alignment horizontal="right"/>
    </xf>
    <xf numFmtId="0" fontId="14" fillId="0" borderId="6" xfId="6" applyBorder="1"/>
    <xf numFmtId="10" fontId="14" fillId="0" borderId="6" xfId="6" applyNumberFormat="1" applyBorder="1"/>
    <xf numFmtId="10" fontId="14" fillId="14" borderId="0" xfId="6" applyNumberFormat="1" applyFill="1"/>
    <xf numFmtId="10" fontId="14" fillId="14" borderId="6" xfId="7" applyNumberFormat="1" applyFont="1" applyFill="1" applyBorder="1"/>
    <xf numFmtId="10" fontId="14" fillId="0" borderId="0" xfId="7" applyNumberFormat="1" applyFont="1" applyBorder="1"/>
    <xf numFmtId="2" fontId="14" fillId="0" borderId="6" xfId="6" applyNumberFormat="1" applyBorder="1"/>
    <xf numFmtId="0" fontId="20" fillId="0" borderId="0" xfId="6" applyFont="1"/>
    <xf numFmtId="0" fontId="21" fillId="0" borderId="0" xfId="6" applyFont="1"/>
    <xf numFmtId="10" fontId="14" fillId="0" borderId="0" xfId="6" applyNumberFormat="1" applyAlignment="1">
      <alignment horizontal="right"/>
    </xf>
    <xf numFmtId="10" fontId="19" fillId="0" borderId="0" xfId="6" applyNumberFormat="1" applyFont="1" applyAlignment="1">
      <alignment horizontal="right"/>
    </xf>
    <xf numFmtId="2" fontId="14" fillId="14" borderId="0" xfId="6" applyNumberFormat="1" applyFill="1" applyAlignment="1">
      <alignment horizontal="right"/>
    </xf>
    <xf numFmtId="10" fontId="14" fillId="14" borderId="6" xfId="6" applyNumberFormat="1" applyFill="1" applyBorder="1"/>
    <xf numFmtId="10" fontId="14" fillId="0" borderId="0" xfId="7" applyNumberFormat="1" applyFont="1" applyFill="1" applyBorder="1"/>
    <xf numFmtId="0" fontId="15" fillId="10" borderId="0" xfId="6" applyFont="1" applyFill="1"/>
    <xf numFmtId="10" fontId="15" fillId="10" borderId="0" xfId="6" applyNumberFormat="1" applyFont="1" applyFill="1"/>
    <xf numFmtId="169" fontId="14" fillId="0" borderId="0" xfId="6" applyNumberFormat="1"/>
    <xf numFmtId="0" fontId="22" fillId="12" borderId="0" xfId="6" applyFont="1" applyFill="1"/>
    <xf numFmtId="0" fontId="23" fillId="12" borderId="0" xfId="6" applyFont="1" applyFill="1"/>
    <xf numFmtId="3" fontId="14" fillId="0" borderId="0" xfId="6" applyNumberFormat="1"/>
    <xf numFmtId="17" fontId="22" fillId="12" borderId="0" xfId="6" applyNumberFormat="1" applyFont="1" applyFill="1"/>
    <xf numFmtId="0" fontId="14" fillId="0" borderId="7" xfId="6" applyBorder="1"/>
    <xf numFmtId="170" fontId="14" fillId="0" borderId="7" xfId="6" applyNumberFormat="1" applyBorder="1"/>
    <xf numFmtId="170" fontId="14" fillId="0" borderId="0" xfId="6" applyNumberFormat="1"/>
    <xf numFmtId="170" fontId="15" fillId="0" borderId="0" xfId="6" applyNumberFormat="1" applyFont="1"/>
    <xf numFmtId="0" fontId="15" fillId="0" borderId="4" xfId="6" applyFont="1" applyBorder="1"/>
    <xf numFmtId="0" fontId="15" fillId="0" borderId="8" xfId="6" applyFont="1" applyBorder="1"/>
    <xf numFmtId="0" fontId="14" fillId="0" borderId="8" xfId="6" applyBorder="1"/>
    <xf numFmtId="10" fontId="15" fillId="0" borderId="8" xfId="7" applyNumberFormat="1" applyFont="1" applyBorder="1"/>
    <xf numFmtId="170" fontId="15" fillId="0" borderId="4" xfId="6" applyNumberFormat="1" applyFont="1" applyBorder="1"/>
    <xf numFmtId="170" fontId="15" fillId="0" borderId="8" xfId="6" applyNumberFormat="1" applyFont="1" applyBorder="1"/>
    <xf numFmtId="10" fontId="19" fillId="0" borderId="7" xfId="6" applyNumberFormat="1" applyFont="1" applyBorder="1"/>
    <xf numFmtId="170" fontId="25" fillId="0" borderId="7" xfId="6" applyNumberFormat="1" applyFont="1" applyBorder="1"/>
    <xf numFmtId="10" fontId="14" fillId="0" borderId="7" xfId="6" applyNumberFormat="1" applyBorder="1"/>
    <xf numFmtId="10" fontId="15" fillId="0" borderId="8" xfId="6" applyNumberFormat="1" applyFont="1" applyBorder="1"/>
    <xf numFmtId="0" fontId="14" fillId="10" borderId="0" xfId="6" applyFill="1"/>
    <xf numFmtId="164" fontId="14" fillId="0" borderId="0" xfId="6" applyNumberFormat="1"/>
    <xf numFmtId="164" fontId="15" fillId="0" borderId="0" xfId="6" applyNumberFormat="1" applyFont="1"/>
    <xf numFmtId="164" fontId="15" fillId="0" borderId="8" xfId="6" applyNumberFormat="1" applyFont="1" applyBorder="1"/>
    <xf numFmtId="10" fontId="14" fillId="10" borderId="0" xfId="6" applyNumberFormat="1" applyFill="1"/>
    <xf numFmtId="171" fontId="14" fillId="0" borderId="0" xfId="6" applyNumberFormat="1"/>
    <xf numFmtId="0" fontId="26" fillId="7" borderId="0" xfId="0" applyFont="1" applyFill="1" applyAlignment="1">
      <alignment horizontal="left" vertical="center" indent="2"/>
    </xf>
    <xf numFmtId="0" fontId="27" fillId="6" borderId="0" xfId="0" applyFont="1" applyFill="1" applyAlignment="1">
      <alignment horizontal="left" vertical="center" indent="2"/>
    </xf>
    <xf numFmtId="0" fontId="26" fillId="6" borderId="0" xfId="0" applyFont="1" applyFill="1" applyAlignment="1">
      <alignment horizontal="left" vertical="center" indent="2"/>
    </xf>
    <xf numFmtId="0" fontId="28" fillId="7" borderId="0" xfId="0" applyFont="1" applyFill="1" applyAlignment="1">
      <alignment horizontal="right" vertical="center" wrapText="1"/>
    </xf>
    <xf numFmtId="0" fontId="29" fillId="6" borderId="0" xfId="0" applyFont="1" applyFill="1" applyAlignment="1">
      <alignment horizontal="right" vertical="center" wrapText="1"/>
    </xf>
    <xf numFmtId="0" fontId="28" fillId="6" borderId="0" xfId="0" applyFont="1" applyFill="1" applyAlignment="1">
      <alignment horizontal="right" vertical="center" wrapText="1"/>
    </xf>
    <xf numFmtId="10" fontId="14" fillId="0" borderId="0" xfId="6" applyNumberFormat="1" applyAlignment="1">
      <alignment vertical="top"/>
    </xf>
    <xf numFmtId="10" fontId="28" fillId="7" borderId="0" xfId="0" applyNumberFormat="1" applyFont="1" applyFill="1" applyAlignment="1">
      <alignment horizontal="right" vertical="center" wrapText="1"/>
    </xf>
    <xf numFmtId="0" fontId="30" fillId="11" borderId="0" xfId="0" applyFont="1" applyFill="1"/>
    <xf numFmtId="0" fontId="0" fillId="11" borderId="0" xfId="0" applyFill="1"/>
    <xf numFmtId="0" fontId="0" fillId="8" borderId="0" xfId="0" applyFill="1"/>
    <xf numFmtId="0" fontId="0" fillId="0" borderId="0" xfId="0" applyAlignment="1">
      <alignment horizontal="left"/>
    </xf>
    <xf numFmtId="2" fontId="14" fillId="0" borderId="0" xfId="6" applyNumberFormat="1" applyAlignment="1">
      <alignment vertical="top"/>
    </xf>
    <xf numFmtId="10" fontId="3" fillId="0" borderId="0" xfId="1" applyNumberFormat="1" applyFont="1" applyBorder="1"/>
    <xf numFmtId="0" fontId="15" fillId="0" borderId="9" xfId="6" applyFont="1" applyBorder="1"/>
    <xf numFmtId="10" fontId="14" fillId="0" borderId="9" xfId="7" applyNumberFormat="1" applyFont="1" applyBorder="1"/>
    <xf numFmtId="169" fontId="14" fillId="0" borderId="6" xfId="6" applyNumberFormat="1" applyBorder="1"/>
    <xf numFmtId="10" fontId="14" fillId="0" borderId="10" xfId="7" applyNumberFormat="1" applyFont="1" applyBorder="1"/>
    <xf numFmtId="0" fontId="32" fillId="6" borderId="1" xfId="0" applyFont="1" applyFill="1" applyBorder="1" applyAlignment="1">
      <alignment horizontal="left" vertical="center" indent="2"/>
    </xf>
    <xf numFmtId="17" fontId="32" fillId="6" borderId="1" xfId="0" applyNumberFormat="1" applyFont="1" applyFill="1" applyBorder="1" applyAlignment="1">
      <alignment horizontal="right" vertical="center" wrapText="1"/>
    </xf>
    <xf numFmtId="0" fontId="0" fillId="7" borderId="0" xfId="0" applyFill="1" applyAlignment="1">
      <alignment horizontal="left" vertical="center" indent="2"/>
    </xf>
    <xf numFmtId="0" fontId="0" fillId="7" borderId="0" xfId="0" applyFill="1" applyAlignment="1">
      <alignment horizontal="right" vertical="center" wrapText="1"/>
    </xf>
    <xf numFmtId="3" fontId="0" fillId="7" borderId="0" xfId="0" applyNumberFormat="1" applyFill="1" applyAlignment="1">
      <alignment horizontal="right" vertical="center" wrapText="1"/>
    </xf>
    <xf numFmtId="0" fontId="0" fillId="6" borderId="0" xfId="0" applyFill="1" applyAlignment="1">
      <alignment horizontal="left" vertical="center" indent="2"/>
    </xf>
    <xf numFmtId="3" fontId="0" fillId="6" borderId="0" xfId="0" applyNumberFormat="1" applyFill="1" applyAlignment="1">
      <alignment horizontal="right" vertical="center" wrapText="1"/>
    </xf>
    <xf numFmtId="0" fontId="33" fillId="7" borderId="11" xfId="0" applyFont="1" applyFill="1" applyBorder="1" applyAlignment="1">
      <alignment horizontal="left" vertical="center" indent="2"/>
    </xf>
    <xf numFmtId="0" fontId="33" fillId="7" borderId="11" xfId="0" applyFont="1" applyFill="1" applyBorder="1" applyAlignment="1">
      <alignment horizontal="right" vertical="center" wrapText="1"/>
    </xf>
    <xf numFmtId="3" fontId="33" fillId="7" borderId="11" xfId="0" applyNumberFormat="1" applyFont="1" applyFill="1" applyBorder="1" applyAlignment="1">
      <alignment horizontal="right" vertical="center" wrapText="1"/>
    </xf>
    <xf numFmtId="0" fontId="0" fillId="7" borderId="0" xfId="0" applyFill="1" applyAlignment="1">
      <alignment horizontal="left" vertical="center"/>
    </xf>
    <xf numFmtId="0" fontId="33" fillId="6" borderId="11" xfId="0" applyFont="1" applyFill="1" applyBorder="1" applyAlignment="1">
      <alignment horizontal="left" vertical="center" indent="2"/>
    </xf>
    <xf numFmtId="3" fontId="33" fillId="6" borderId="11" xfId="0" applyNumberFormat="1" applyFont="1" applyFill="1" applyBorder="1" applyAlignment="1">
      <alignment horizontal="right" vertical="center" wrapText="1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right" vertical="center" wrapText="1"/>
    </xf>
    <xf numFmtId="0" fontId="33" fillId="6" borderId="11" xfId="0" applyFont="1" applyFill="1" applyBorder="1" applyAlignment="1">
      <alignment horizontal="left" vertical="center"/>
    </xf>
    <xf numFmtId="0" fontId="33" fillId="7" borderId="11" xfId="0" applyFont="1" applyFill="1" applyBorder="1" applyAlignment="1">
      <alignment horizontal="left" vertical="center"/>
    </xf>
    <xf numFmtId="0" fontId="33" fillId="6" borderId="11" xfId="0" applyFont="1" applyFill="1" applyBorder="1" applyAlignment="1">
      <alignment horizontal="right" vertical="center" wrapText="1"/>
    </xf>
    <xf numFmtId="0" fontId="35" fillId="7" borderId="0" xfId="0" applyFont="1" applyFill="1" applyAlignment="1">
      <alignment horizontal="left" vertical="center" indent="2"/>
    </xf>
    <xf numFmtId="3" fontId="35" fillId="7" borderId="0" xfId="0" applyNumberFormat="1" applyFont="1" applyFill="1" applyAlignment="1">
      <alignment horizontal="right" vertical="center" wrapText="1"/>
    </xf>
    <xf numFmtId="0" fontId="35" fillId="6" borderId="0" xfId="0" applyFont="1" applyFill="1" applyAlignment="1">
      <alignment horizontal="left" vertical="center" indent="2"/>
    </xf>
    <xf numFmtId="9" fontId="35" fillId="6" borderId="0" xfId="0" applyNumberFormat="1" applyFont="1" applyFill="1" applyAlignment="1">
      <alignment horizontal="right" vertical="center" wrapText="1"/>
    </xf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  <xf numFmtId="43" fontId="15" fillId="0" borderId="8" xfId="6" applyNumberFormat="1" applyFont="1" applyBorder="1"/>
    <xf numFmtId="164" fontId="2" fillId="8" borderId="0" xfId="0" applyNumberFormat="1" applyFont="1" applyFill="1"/>
    <xf numFmtId="169" fontId="0" fillId="0" borderId="0" xfId="0" applyNumberFormat="1"/>
    <xf numFmtId="10" fontId="15" fillId="0" borderId="0" xfId="6" applyNumberFormat="1" applyFont="1" applyAlignment="1">
      <alignment horizontal="left"/>
    </xf>
    <xf numFmtId="10" fontId="15" fillId="0" borderId="0" xfId="6" applyNumberFormat="1" applyFont="1" applyFill="1" applyAlignment="1">
      <alignment horizontal="left"/>
    </xf>
    <xf numFmtId="169" fontId="14" fillId="10" borderId="0" xfId="6" applyNumberFormat="1" applyFill="1"/>
    <xf numFmtId="169" fontId="14" fillId="8" borderId="0" xfId="6" applyNumberFormat="1" applyFill="1"/>
  </cellXfs>
  <cellStyles count="15">
    <cellStyle name="60% - Accent1" xfId="3" builtinId="32"/>
    <cellStyle name="60% - Accent3" xfId="4" builtinId="40"/>
    <cellStyle name="Accent6" xfId="5" builtinId="49"/>
    <cellStyle name="Accent6 2" xfId="10" xr:uid="{0290F921-2702-4A65-A1C1-857CD79D74BC}"/>
    <cellStyle name="Comma" xfId="1" builtinId="3"/>
    <cellStyle name="Comma 2" xfId="8" xr:uid="{1281ADCD-5901-44C0-98C0-73571C7B7308}"/>
    <cellStyle name="Hyperlink" xfId="2" builtinId="8"/>
    <cellStyle name="Hyperlink 2" xfId="9" xr:uid="{72A46EA4-6A43-45C0-943D-928D49FD5B9E}"/>
    <cellStyle name="Hyperlink 3" xfId="14" xr:uid="{D1D66FAF-F2F9-4A60-BACF-95B000A1C140}"/>
    <cellStyle name="Normal" xfId="0" builtinId="0"/>
    <cellStyle name="Normal 2" xfId="13" xr:uid="{04A4E998-5B1B-4284-B7AE-F67B82C7C21A}"/>
    <cellStyle name="Normal 3" xfId="11" xr:uid="{A7CBAAB6-7070-475C-9F2C-3F17177C5B51}"/>
    <cellStyle name="Normal 4" xfId="6" xr:uid="{E155CC2E-DAA6-419D-927A-AAA837088C68}"/>
    <cellStyle name="Percent 2" xfId="7" xr:uid="{C11E8762-1947-4066-BB42-51D51030DE77}"/>
    <cellStyle name="Percent 3" xfId="12" xr:uid="{1BE9F068-34C6-496D-90ED-226E8FD1AC62}"/>
  </cellStyles>
  <dxfs count="2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P35" headerRowCount="0" totalsRowShown="0" headerRowDxfId="20">
  <tableColumns count="16">
    <tableColumn id="1" xr3:uid="{00000000-0010-0000-0000-000001000000}" name="Column1" headerRowDxfId="19" dataDxfId="18"/>
    <tableColumn id="2" xr3:uid="{00000000-0010-0000-0000-000002000000}" name="Column2" headerRowDxfId="17"/>
    <tableColumn id="3" xr3:uid="{00000000-0010-0000-0000-000003000000}" name="Column3" headerRowDxfId="16"/>
    <tableColumn id="4" xr3:uid="{00000000-0010-0000-0000-000004000000}" name="Column4" headerRowDxfId="15"/>
    <tableColumn id="5" xr3:uid="{00000000-0010-0000-0000-000005000000}" name="Column5" headerRowDxfId="14"/>
    <tableColumn id="6" xr3:uid="{00000000-0010-0000-0000-000006000000}" name="Column6" headerRowDxfId="13"/>
    <tableColumn id="7" xr3:uid="{00000000-0010-0000-0000-000007000000}" name="Column7" headerRowDxfId="12"/>
    <tableColumn id="8" xr3:uid="{00000000-0010-0000-0000-000008000000}" name="Column8" headerRowDxfId="11"/>
    <tableColumn id="9" xr3:uid="{00000000-0010-0000-0000-000009000000}" name="Column9" headerRowDxfId="10"/>
    <tableColumn id="10" xr3:uid="{00000000-0010-0000-0000-00000A000000}" name="Column10" headerRowDxfId="9"/>
    <tableColumn id="11" xr3:uid="{00000000-0010-0000-0000-00000B000000}" name="Column11" headerRowDxfId="8"/>
    <tableColumn id="12" xr3:uid="{00000000-0010-0000-0000-00000C000000}" name="Column12" headerRowDxfId="7"/>
    <tableColumn id="13" xr3:uid="{00000000-0010-0000-0000-00000D000000}" name="Column13" headerRowDxfId="6" dataDxfId="5"/>
    <tableColumn id="14" xr3:uid="{00000000-0010-0000-0000-00000E000000}" name="Column14" headerRowDxfId="4" dataDxfId="3"/>
    <tableColumn id="15" xr3:uid="{3B363899-7E89-4A1B-8DD2-935174372BBC}" name="Column15" headerRowDxfId="2"/>
    <tableColumn id="16" xr3:uid="{C6A8AE38-0F40-4485-8409-EBF7FDDDEFA1}" name="Column16" headerRowDxfId="1"/>
  </tableColumns>
  <tableStyleInfo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3283-394D-4274-8D3C-88B87902D7BC}">
  <sheetPr>
    <tabColor rgb="FF7030A0"/>
  </sheetPr>
  <dimension ref="B3:K13"/>
  <sheetViews>
    <sheetView showGridLines="0" workbookViewId="0">
      <selection activeCell="C13" sqref="C13"/>
    </sheetView>
  </sheetViews>
  <sheetFormatPr defaultRowHeight="14.4" x14ac:dyDescent="0.3"/>
  <cols>
    <col min="1" max="1" width="2.44140625" customWidth="1"/>
    <col min="3" max="3" width="8.88671875" style="151"/>
    <col min="10" max="10" width="6.6640625" customWidth="1"/>
  </cols>
  <sheetData>
    <row r="3" spans="2:11" ht="36.6" x14ac:dyDescent="0.7">
      <c r="G3" s="148" t="s">
        <v>270</v>
      </c>
      <c r="H3" s="149"/>
      <c r="I3" s="149"/>
      <c r="J3" s="149"/>
      <c r="K3" s="150"/>
    </row>
    <row r="4" spans="2:11" x14ac:dyDescent="0.3">
      <c r="F4" s="150"/>
      <c r="G4" s="150"/>
      <c r="H4" s="150"/>
      <c r="I4" s="150"/>
      <c r="J4" s="150"/>
      <c r="K4" s="150"/>
    </row>
    <row r="5" spans="2:11" ht="15.6" x14ac:dyDescent="0.3">
      <c r="B5">
        <v>1</v>
      </c>
      <c r="C5" s="151" t="s">
        <v>272</v>
      </c>
      <c r="F5" s="150"/>
      <c r="G5" s="150"/>
      <c r="H5" s="150"/>
      <c r="I5" s="150"/>
      <c r="J5" s="150"/>
      <c r="K5" s="150"/>
    </row>
    <row r="6" spans="2:11" ht="15.6" x14ac:dyDescent="0.3">
      <c r="B6">
        <v>2</v>
      </c>
      <c r="C6" s="151" t="s">
        <v>271</v>
      </c>
      <c r="F6" s="150"/>
      <c r="G6" s="150"/>
      <c r="H6" s="150"/>
      <c r="I6" s="150"/>
      <c r="J6" s="150"/>
      <c r="K6" s="150"/>
    </row>
    <row r="7" spans="2:11" x14ac:dyDescent="0.3">
      <c r="B7">
        <v>3</v>
      </c>
      <c r="C7" s="151" t="s">
        <v>273</v>
      </c>
      <c r="F7" s="150"/>
      <c r="G7" s="150"/>
      <c r="H7" s="150"/>
      <c r="I7" s="150"/>
      <c r="J7" s="150"/>
      <c r="K7" s="150"/>
    </row>
    <row r="8" spans="2:11" ht="15.6" x14ac:dyDescent="0.3">
      <c r="B8">
        <v>4</v>
      </c>
      <c r="C8" s="151" t="s">
        <v>274</v>
      </c>
    </row>
    <row r="9" spans="2:11" x14ac:dyDescent="0.3">
      <c r="B9">
        <v>5</v>
      </c>
      <c r="C9" t="s">
        <v>275</v>
      </c>
    </row>
    <row r="10" spans="2:11" ht="15.6" x14ac:dyDescent="0.3">
      <c r="B10">
        <v>6</v>
      </c>
      <c r="C10" s="151" t="s">
        <v>276</v>
      </c>
    </row>
    <row r="11" spans="2:11" ht="15.6" x14ac:dyDescent="0.3">
      <c r="B11">
        <v>7</v>
      </c>
      <c r="C11" s="151" t="s">
        <v>317</v>
      </c>
    </row>
    <row r="12" spans="2:11" ht="15.6" x14ac:dyDescent="0.3">
      <c r="B12">
        <v>8</v>
      </c>
      <c r="C12" s="151" t="s">
        <v>318</v>
      </c>
    </row>
    <row r="13" spans="2:11" ht="15.6" x14ac:dyDescent="0.3">
      <c r="B13">
        <v>9</v>
      </c>
      <c r="C13" s="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BBD6-AA78-4AA6-8C97-974A90B43C1E}">
  <sheetPr>
    <tabColor rgb="FF7030A0"/>
  </sheetPr>
  <dimension ref="A1"/>
  <sheetViews>
    <sheetView workbookViewId="0">
      <selection activeCell="N20" sqref="N20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  <pageSetUpPr fitToPage="1"/>
  </sheetPr>
  <dimension ref="A1:P63"/>
  <sheetViews>
    <sheetView zoomScale="120" zoomScaleNormal="120" zoomScaleSheetLayoutView="100" zoomScalePageLayoutView="120" workbookViewId="0">
      <pane xSplit="1" ySplit="4" topLeftCell="F8" activePane="bottomRight" state="frozen"/>
      <selection activeCell="I2" sqref="I2"/>
      <selection pane="topRight" activeCell="I2" sqref="I2"/>
      <selection pane="bottomLeft" activeCell="I2" sqref="I2"/>
      <selection pane="bottomRight" activeCell="K14" sqref="K14"/>
    </sheetView>
  </sheetViews>
  <sheetFormatPr defaultColWidth="8.77734375" defaultRowHeight="14.4" x14ac:dyDescent="0.3"/>
  <cols>
    <col min="1" max="1" width="24.33203125" customWidth="1"/>
    <col min="2" max="6" width="13.44140625" customWidth="1"/>
    <col min="7" max="7" width="14.77734375" bestFit="1" customWidth="1"/>
    <col min="8" max="11" width="13.44140625" customWidth="1"/>
    <col min="12" max="12" width="16.77734375" customWidth="1"/>
    <col min="13" max="14" width="12.109375" customWidth="1"/>
    <col min="15" max="16" width="11.44140625" customWidth="1"/>
  </cols>
  <sheetData>
    <row r="1" spans="1:16" s="2" customFormat="1" x14ac:dyDescent="0.3">
      <c r="A1" s="2" t="str">
        <f>'Data Sheet'!B1</f>
        <v>INFOSYS LTD</v>
      </c>
      <c r="H1" t="str">
        <f>UPDATE</f>
        <v/>
      </c>
      <c r="J1" s="3"/>
      <c r="K1" s="3"/>
    </row>
    <row r="3" spans="1:16" s="2" customFormat="1" x14ac:dyDescent="0.3">
      <c r="A3" s="7" t="s">
        <v>2</v>
      </c>
      <c r="B3" s="8">
        <f>'Data Sheet'!B16</f>
        <v>42825</v>
      </c>
      <c r="C3" s="8">
        <f>'Data Sheet'!C16</f>
        <v>43190</v>
      </c>
      <c r="D3" s="8">
        <f>'Data Sheet'!D16</f>
        <v>43555</v>
      </c>
      <c r="E3" s="8">
        <f>'Data Sheet'!E16</f>
        <v>43921</v>
      </c>
      <c r="F3" s="8">
        <f>'Data Sheet'!F16</f>
        <v>44286</v>
      </c>
      <c r="G3" s="8">
        <f>'Data Sheet'!G16</f>
        <v>44651</v>
      </c>
      <c r="H3" s="8">
        <f>'Data Sheet'!H16</f>
        <v>45016</v>
      </c>
      <c r="I3" s="8">
        <f>'Data Sheet'!I16</f>
        <v>45382</v>
      </c>
      <c r="J3" s="8">
        <f>'Data Sheet'!J16</f>
        <v>45747</v>
      </c>
      <c r="K3" s="8">
        <f>'Data Sheet'!K16</f>
        <v>46112</v>
      </c>
      <c r="L3" s="53">
        <v>46473</v>
      </c>
      <c r="M3" s="53">
        <v>46840</v>
      </c>
      <c r="N3" s="53">
        <v>47206</v>
      </c>
      <c r="O3" s="53">
        <v>47572</v>
      </c>
      <c r="P3" s="53">
        <v>47938</v>
      </c>
    </row>
    <row r="4" spans="1:16" s="2" customFormat="1" x14ac:dyDescent="0.3">
      <c r="A4" s="2" t="s">
        <v>3</v>
      </c>
      <c r="B4" s="1">
        <f>IFERROR('Data Sheet'!B17,0)</f>
        <v>68484</v>
      </c>
      <c r="C4" s="1">
        <f>IFERROR('Data Sheet'!C17,0)</f>
        <v>70522</v>
      </c>
      <c r="D4" s="1">
        <f>IFERROR('Data Sheet'!D17,0)</f>
        <v>82675</v>
      </c>
      <c r="E4" s="1">
        <f>IFERROR('Data Sheet'!E17,0)</f>
        <v>90791</v>
      </c>
      <c r="F4" s="1">
        <f>IFERROR('Data Sheet'!F17,0)</f>
        <v>100472</v>
      </c>
      <c r="G4" s="1">
        <f>IFERROR('Data Sheet'!G17,0)</f>
        <v>121641</v>
      </c>
      <c r="H4" s="1">
        <f>IFERROR('Data Sheet'!H17,0)</f>
        <v>146767</v>
      </c>
      <c r="I4" s="1">
        <f>IFERROR('Data Sheet'!I17,0)</f>
        <v>153670</v>
      </c>
      <c r="J4" s="1">
        <f>IFERROR('Data Sheet'!J17,0)</f>
        <v>162990</v>
      </c>
      <c r="K4" s="1">
        <f>IFERROR('Data Sheet'!K17,0)</f>
        <v>178650</v>
      </c>
      <c r="L4" s="54">
        <f>IFERROR(FORECASTING!D15,0)</f>
        <v>190427.6</v>
      </c>
      <c r="M4" s="54">
        <f>IFERROR(FORECASTING!D16,0)</f>
        <v>203656.94545454544</v>
      </c>
      <c r="N4" s="54">
        <f>IFERROR(FORECASTING!D17,0)</f>
        <v>216886.29090909089</v>
      </c>
      <c r="O4" s="54">
        <f>IFERROR(FORECASTING!D18,0)</f>
        <v>230115.63636363635</v>
      </c>
      <c r="P4" s="54">
        <f>IFERROR(FORECASTING!D19,0)</f>
        <v>243344.98181818181</v>
      </c>
    </row>
    <row r="5" spans="1:16" x14ac:dyDescent="0.3">
      <c r="L5" s="55"/>
      <c r="M5" s="55"/>
      <c r="N5" s="55"/>
      <c r="O5" s="55"/>
      <c r="P5" s="55"/>
    </row>
    <row r="6" spans="1:16" x14ac:dyDescent="0.3">
      <c r="A6" t="s">
        <v>4</v>
      </c>
      <c r="B6" s="6">
        <f>IFERROR(SUM('Data Sheet'!B18,'Data Sheet'!B20:B22, -1*'Data Sheet'!B19),0)</f>
        <v>44609</v>
      </c>
      <c r="C6" s="6">
        <f>IFERROR(SUM('Data Sheet'!C18,'Data Sheet'!C20:C22, -1*'Data Sheet'!C19),0)</f>
        <v>46395</v>
      </c>
      <c r="D6" s="6">
        <f>IFERROR(SUM('Data Sheet'!D18,'Data Sheet'!D20:D22, -1*'Data Sheet'!D19),0)</f>
        <v>55446</v>
      </c>
      <c r="E6" s="6">
        <f>IFERROR(SUM('Data Sheet'!E18,'Data Sheet'!E20:E22, -1*'Data Sheet'!E19),0)</f>
        <v>62210</v>
      </c>
      <c r="F6" s="6">
        <f>IFERROR(SUM('Data Sheet'!F18,'Data Sheet'!F20:F22, -1*'Data Sheet'!F19),0)</f>
        <v>68490</v>
      </c>
      <c r="G6" s="6">
        <f>IFERROR(SUM('Data Sheet'!G18,'Data Sheet'!G20:G22, -1*'Data Sheet'!G19),0)</f>
        <v>84819</v>
      </c>
      <c r="H6" s="6">
        <f>IFERROR(SUM('Data Sheet'!H18,'Data Sheet'!H20:H22, -1*'Data Sheet'!H19),0)</f>
        <v>104880</v>
      </c>
      <c r="I6" s="6">
        <f>IFERROR(SUM('Data Sheet'!I18,'Data Sheet'!I20:I22, -1*'Data Sheet'!I19),0)</f>
        <v>110030</v>
      </c>
      <c r="J6" s="6">
        <f>IFERROR(SUM('Data Sheet'!J18,'Data Sheet'!J20:J22, -1*'Data Sheet'!J19),0)</f>
        <v>116585</v>
      </c>
      <c r="K6" s="6">
        <f>IFERROR(SUM('Data Sheet'!K18,'Data Sheet'!K20:K22, -1*'Data Sheet'!K19),0)</f>
        <v>128257</v>
      </c>
      <c r="L6" s="56">
        <f>IFERROR(FORECASTING!D36,0)</f>
        <v>137552.79999999999</v>
      </c>
      <c r="M6" s="56">
        <f>IFERROR(FORECASTING!D37,0)</f>
        <v>147622.01818181819</v>
      </c>
      <c r="N6" s="56">
        <f>IFERROR(FORECASTING!D38,0)</f>
        <v>157691.23636363639</v>
      </c>
      <c r="O6" s="56">
        <f>IFERROR(FORECASTING!D39,0)</f>
        <v>167760.45454545453</v>
      </c>
      <c r="P6" s="56">
        <f>IFERROR(FORECASTING!D40,0)</f>
        <v>177829.67272727273</v>
      </c>
    </row>
    <row r="7" spans="1:16" x14ac:dyDescent="0.3">
      <c r="A7" s="15"/>
      <c r="L7" s="57"/>
      <c r="M7" s="57"/>
      <c r="N7" s="57"/>
      <c r="O7" s="55"/>
      <c r="P7" s="55"/>
    </row>
    <row r="8" spans="1:16" s="2" customFormat="1" x14ac:dyDescent="0.3">
      <c r="A8" s="2" t="s">
        <v>63</v>
      </c>
      <c r="B8" s="1">
        <f>IFERROR(B4-B6,0)</f>
        <v>23875</v>
      </c>
      <c r="C8" s="1">
        <f t="shared" ref="C8:P8" si="0">IFERROR(C4-C6,0)</f>
        <v>24127</v>
      </c>
      <c r="D8" s="1">
        <f t="shared" si="0"/>
        <v>27229</v>
      </c>
      <c r="E8" s="1">
        <f t="shared" si="0"/>
        <v>28581</v>
      </c>
      <c r="F8" s="1">
        <f t="shared" si="0"/>
        <v>31982</v>
      </c>
      <c r="G8" s="1">
        <f t="shared" si="0"/>
        <v>36822</v>
      </c>
      <c r="H8" s="1">
        <f t="shared" si="0"/>
        <v>41887</v>
      </c>
      <c r="I8" s="1">
        <f t="shared" si="0"/>
        <v>43640</v>
      </c>
      <c r="J8" s="1">
        <f t="shared" si="0"/>
        <v>46405</v>
      </c>
      <c r="K8" s="1">
        <f t="shared" si="0"/>
        <v>50393</v>
      </c>
      <c r="L8" s="54">
        <f t="shared" si="0"/>
        <v>52874.800000000017</v>
      </c>
      <c r="M8" s="54">
        <f t="shared" si="0"/>
        <v>56034.927272727247</v>
      </c>
      <c r="N8" s="54">
        <f t="shared" si="0"/>
        <v>59195.054545454506</v>
      </c>
      <c r="O8" s="54">
        <f t="shared" si="0"/>
        <v>62355.181818181823</v>
      </c>
      <c r="P8" s="54">
        <f t="shared" si="0"/>
        <v>65515.309090909082</v>
      </c>
    </row>
    <row r="9" spans="1:16" x14ac:dyDescent="0.3">
      <c r="A9" t="s">
        <v>6</v>
      </c>
      <c r="B9" s="6">
        <f>IFERROR('Data Sheet'!B25,0)</f>
        <v>3050</v>
      </c>
      <c r="C9" s="6">
        <f>IFERROR('Data Sheet'!C25,0)</f>
        <v>3311</v>
      </c>
      <c r="D9" s="6">
        <f>IFERROR('Data Sheet'!D25,0)</f>
        <v>2882</v>
      </c>
      <c r="E9" s="6">
        <f>IFERROR('Data Sheet'!E25,0)</f>
        <v>2803</v>
      </c>
      <c r="F9" s="6">
        <f>IFERROR('Data Sheet'!F25,0)</f>
        <v>2201</v>
      </c>
      <c r="G9" s="6">
        <f>IFERROR('Data Sheet'!G25,0)</f>
        <v>2295</v>
      </c>
      <c r="H9" s="6">
        <f>IFERROR('Data Sheet'!H25,0)</f>
        <v>2701</v>
      </c>
      <c r="I9" s="6">
        <f>IFERROR('Data Sheet'!I25,0)</f>
        <v>4711</v>
      </c>
      <c r="J9" s="6">
        <f>IFERROR('Data Sheet'!J25,0)</f>
        <v>3600</v>
      </c>
      <c r="K9" s="6">
        <f>IFERROR('Data Sheet'!K25,0)</f>
        <v>3033</v>
      </c>
      <c r="L9" s="57">
        <f>IFERROR(FORECASTING!I36,0)</f>
        <v>3418.7999999999997</v>
      </c>
      <c r="M9" s="57">
        <f>IFERROR(FORECASTING!I37,0)</f>
        <v>3484.272727272727</v>
      </c>
      <c r="N9" s="57">
        <f>IFERROR(FORECASTING!I38,0)</f>
        <v>3549.7454545454543</v>
      </c>
      <c r="O9" s="57">
        <f>IFERROR(FORECASTING!I39,0)</f>
        <v>3615.2181818181816</v>
      </c>
      <c r="P9" s="57">
        <f>IFERROR(FORECASTING!I40,0)</f>
        <v>3680.6909090909089</v>
      </c>
    </row>
    <row r="10" spans="1:16" x14ac:dyDescent="0.3">
      <c r="B10" s="6"/>
      <c r="C10" s="6"/>
      <c r="D10" s="6"/>
      <c r="E10" s="6"/>
      <c r="F10" s="6"/>
      <c r="G10" s="6"/>
      <c r="H10" s="6"/>
      <c r="I10" s="6"/>
      <c r="J10" s="6"/>
      <c r="K10" s="6"/>
      <c r="L10" s="57"/>
      <c r="M10" s="57"/>
      <c r="N10" s="57"/>
      <c r="O10" s="55"/>
      <c r="P10" s="55"/>
    </row>
    <row r="11" spans="1:16" x14ac:dyDescent="0.3">
      <c r="A11" s="2" t="s">
        <v>164</v>
      </c>
      <c r="B11" s="16">
        <f>IFERROR(B8+B9,0)</f>
        <v>26925</v>
      </c>
      <c r="C11" s="16">
        <f t="shared" ref="C11:P11" si="1">IFERROR(C8+C9,0)</f>
        <v>27438</v>
      </c>
      <c r="D11" s="16">
        <f t="shared" si="1"/>
        <v>30111</v>
      </c>
      <c r="E11" s="16">
        <f t="shared" si="1"/>
        <v>31384</v>
      </c>
      <c r="F11" s="16">
        <f t="shared" si="1"/>
        <v>34183</v>
      </c>
      <c r="G11" s="16">
        <f t="shared" si="1"/>
        <v>39117</v>
      </c>
      <c r="H11" s="16">
        <f t="shared" si="1"/>
        <v>44588</v>
      </c>
      <c r="I11" s="16">
        <f t="shared" si="1"/>
        <v>48351</v>
      </c>
      <c r="J11" s="16">
        <f t="shared" si="1"/>
        <v>50005</v>
      </c>
      <c r="K11" s="16">
        <f t="shared" si="1"/>
        <v>53426</v>
      </c>
      <c r="L11" s="58">
        <f t="shared" si="1"/>
        <v>56293.60000000002</v>
      </c>
      <c r="M11" s="58">
        <f t="shared" si="1"/>
        <v>59519.199999999975</v>
      </c>
      <c r="N11" s="58">
        <f t="shared" si="1"/>
        <v>62744.799999999959</v>
      </c>
      <c r="O11" s="58">
        <f t="shared" si="1"/>
        <v>65970.400000000009</v>
      </c>
      <c r="P11" s="58">
        <f t="shared" si="1"/>
        <v>69195.999999999985</v>
      </c>
    </row>
    <row r="12" spans="1:16" x14ac:dyDescent="0.3">
      <c r="A12" s="15" t="s">
        <v>61</v>
      </c>
      <c r="B12">
        <f>IFERROR(SUM('Data Sheet'!B23:B24),0)</f>
        <v>5271</v>
      </c>
      <c r="C12">
        <f>IFERROR(SUM('Data Sheet'!C23:C24),0)</f>
        <v>5305</v>
      </c>
      <c r="D12">
        <f>IFERROR(SUM('Data Sheet'!D23:D24),0)</f>
        <v>7059</v>
      </c>
      <c r="E12">
        <f>IFERROR(SUM('Data Sheet'!E23:E24),0)</f>
        <v>6314</v>
      </c>
      <c r="F12">
        <f>IFERROR(SUM('Data Sheet'!F23:F24),0)</f>
        <v>4093</v>
      </c>
      <c r="G12">
        <f>IFERROR(SUM('Data Sheet'!G23:G24),0)</f>
        <v>5331</v>
      </c>
      <c r="H12">
        <f>IFERROR(SUM('Data Sheet'!H23:H24),0)</f>
        <v>6757</v>
      </c>
      <c r="I12">
        <f>IFERROR(SUM('Data Sheet'!I23:I24),0)</f>
        <v>7215</v>
      </c>
      <c r="J12">
        <f>IFERROR(SUM('Data Sheet'!J23:J24),0)</f>
        <v>7169</v>
      </c>
      <c r="K12">
        <f>IFERROR(SUM('Data Sheet'!K23:K24),0)</f>
        <v>8113</v>
      </c>
      <c r="L12" s="57">
        <f>IFERROR(FORECASTING!N36,0)</f>
        <v>7661.8</v>
      </c>
      <c r="M12" s="57">
        <f>IFERROR(FORECASTING!N37,0)</f>
        <v>7916.181818181818</v>
      </c>
      <c r="N12" s="57">
        <f>IFERROR(FORECASTING!N38,0)</f>
        <v>8170.5636363636368</v>
      </c>
      <c r="O12" s="57">
        <f>IFERROR(FORECASTING!N39,0)</f>
        <v>8424.9454545454537</v>
      </c>
      <c r="P12" s="57">
        <f>IFERROR(FORECASTING!N40,0)</f>
        <v>8679.3272727272724</v>
      </c>
    </row>
    <row r="13" spans="1:16" x14ac:dyDescent="0.3">
      <c r="A13" s="15"/>
      <c r="L13" s="57"/>
      <c r="M13" s="57"/>
      <c r="N13" s="57"/>
      <c r="O13" s="55"/>
      <c r="P13" s="55"/>
    </row>
    <row r="14" spans="1:16" x14ac:dyDescent="0.3">
      <c r="A14" s="2" t="s">
        <v>62</v>
      </c>
      <c r="B14" s="16">
        <f>IFERROR(B11-B12,0)</f>
        <v>21654</v>
      </c>
      <c r="C14" s="16">
        <f t="shared" ref="C14:P14" si="2">IFERROR(C11-C12,0)</f>
        <v>22133</v>
      </c>
      <c r="D14" s="16">
        <f t="shared" si="2"/>
        <v>23052</v>
      </c>
      <c r="E14" s="16">
        <f t="shared" si="2"/>
        <v>25070</v>
      </c>
      <c r="F14" s="16">
        <f t="shared" si="2"/>
        <v>30090</v>
      </c>
      <c r="G14" s="16">
        <f t="shared" si="2"/>
        <v>33786</v>
      </c>
      <c r="H14" s="16">
        <f t="shared" si="2"/>
        <v>37831</v>
      </c>
      <c r="I14" s="16">
        <f t="shared" si="2"/>
        <v>41136</v>
      </c>
      <c r="J14" s="16">
        <f t="shared" si="2"/>
        <v>42836</v>
      </c>
      <c r="K14" s="16">
        <f t="shared" si="2"/>
        <v>45313</v>
      </c>
      <c r="L14" s="58">
        <f t="shared" si="2"/>
        <v>48631.800000000017</v>
      </c>
      <c r="M14" s="58">
        <f t="shared" si="2"/>
        <v>51603.018181818159</v>
      </c>
      <c r="N14" s="58">
        <f t="shared" si="2"/>
        <v>54574.236363636322</v>
      </c>
      <c r="O14" s="58">
        <f t="shared" si="2"/>
        <v>57545.454545454559</v>
      </c>
      <c r="P14" s="58">
        <f t="shared" si="2"/>
        <v>60516.672727272715</v>
      </c>
    </row>
    <row r="15" spans="1:16" x14ac:dyDescent="0.3">
      <c r="A15" t="s">
        <v>7</v>
      </c>
      <c r="B15" s="6">
        <f>IFERROR('Data Sheet'!B26,0)</f>
        <v>1703</v>
      </c>
      <c r="C15" s="6">
        <f>IFERROR('Data Sheet'!C26,0)</f>
        <v>1863</v>
      </c>
      <c r="D15" s="6">
        <f>IFERROR('Data Sheet'!D26,0)</f>
        <v>2011</v>
      </c>
      <c r="E15" s="6">
        <f>IFERROR('Data Sheet'!E26,0)</f>
        <v>2893</v>
      </c>
      <c r="F15" s="6">
        <f>IFERROR('Data Sheet'!F26,0)</f>
        <v>3267</v>
      </c>
      <c r="G15" s="6">
        <f>IFERROR('Data Sheet'!G26,0)</f>
        <v>3476</v>
      </c>
      <c r="H15" s="6">
        <f>IFERROR('Data Sheet'!H26,0)</f>
        <v>4225</v>
      </c>
      <c r="I15" s="6">
        <f>IFERROR('Data Sheet'!I26,0)</f>
        <v>4678</v>
      </c>
      <c r="J15" s="6">
        <f>IFERROR('Data Sheet'!J26,0)</f>
        <v>4812</v>
      </c>
      <c r="K15" s="6">
        <f>IFERROR('Data Sheet'!K26,0)</f>
        <v>4902</v>
      </c>
      <c r="L15" s="57">
        <f>IFERROR(FORECASTING!N56,0)</f>
        <v>5615.4666666666672</v>
      </c>
      <c r="M15" s="57">
        <f>FORECASTING!N57</f>
        <v>6021.3696969696957</v>
      </c>
      <c r="N15" s="57">
        <f>FORECASTING!N58</f>
        <v>6427.2727272727261</v>
      </c>
      <c r="O15" s="57">
        <f>FORECASTING!N59</f>
        <v>6833.1757575757565</v>
      </c>
      <c r="P15" s="57">
        <f>FORECASTING!N60</f>
        <v>7239.0787878787869</v>
      </c>
    </row>
    <row r="16" spans="1:16" s="2" customFormat="1" x14ac:dyDescent="0.3">
      <c r="A16" t="s">
        <v>8</v>
      </c>
      <c r="B16" s="6">
        <f>IFERROR('Data Sheet'!B27,0)</f>
        <v>0</v>
      </c>
      <c r="C16" s="6">
        <f>IFERROR('Data Sheet'!C27,0)</f>
        <v>0</v>
      </c>
      <c r="D16" s="6">
        <f>IFERROR('Data Sheet'!D27,0)</f>
        <v>0</v>
      </c>
      <c r="E16" s="6">
        <f>IFERROR('Data Sheet'!E27,0)</f>
        <v>170</v>
      </c>
      <c r="F16" s="6">
        <f>IFERROR('Data Sheet'!F27,0)</f>
        <v>195</v>
      </c>
      <c r="G16" s="6">
        <f>IFERROR('Data Sheet'!G27,0)</f>
        <v>200</v>
      </c>
      <c r="H16" s="6">
        <f>IFERROR('Data Sheet'!H27,0)</f>
        <v>284</v>
      </c>
      <c r="I16" s="6">
        <f>IFERROR('Data Sheet'!I27,0)</f>
        <v>470</v>
      </c>
      <c r="J16" s="6">
        <f>IFERROR('Data Sheet'!J27,0)</f>
        <v>416</v>
      </c>
      <c r="K16" s="6">
        <f>IFERROR('Data Sheet'!K27,0)</f>
        <v>416</v>
      </c>
      <c r="L16" s="54">
        <f>FORECASTING!D56</f>
        <v>526.86666666666667</v>
      </c>
      <c r="M16" s="54">
        <f>IFERROR(FORECASTING!D57,0)</f>
        <v>583.55151515151522</v>
      </c>
      <c r="N16" s="54">
        <f>IFERROR(FORECASTING!D58,0)</f>
        <v>640.23636363636376</v>
      </c>
      <c r="O16" s="54">
        <f>IFERROR(FORECASTING!D59,0)</f>
        <v>696.92121212121219</v>
      </c>
      <c r="P16" s="54">
        <f>IFERROR(FORECASTING!D60,0)</f>
        <v>753.60606060606062</v>
      </c>
    </row>
    <row r="17" spans="1:16" s="2" customFormat="1" x14ac:dyDescent="0.3">
      <c r="A17"/>
      <c r="B17" s="6"/>
      <c r="C17" s="6"/>
      <c r="D17" s="6"/>
      <c r="E17" s="6"/>
      <c r="F17" s="6"/>
      <c r="G17" s="6"/>
      <c r="H17" s="6"/>
      <c r="I17" s="6"/>
      <c r="J17" s="6"/>
      <c r="K17" s="153"/>
      <c r="L17" s="54"/>
      <c r="M17" s="54"/>
      <c r="N17" s="54"/>
      <c r="O17" s="59"/>
      <c r="P17" s="59"/>
    </row>
    <row r="18" spans="1:16" x14ac:dyDescent="0.3">
      <c r="A18" s="2" t="s">
        <v>9</v>
      </c>
      <c r="B18" s="6">
        <f>IFERROR('Data Sheet'!B28,0)</f>
        <v>19951</v>
      </c>
      <c r="C18" s="6">
        <f>IFERROR('Data Sheet'!C28,0)</f>
        <v>20270</v>
      </c>
      <c r="D18" s="6">
        <f>IFERROR('Data Sheet'!D28,0)</f>
        <v>21041</v>
      </c>
      <c r="E18" s="6">
        <f>IFERROR('Data Sheet'!E28,0)</f>
        <v>22007</v>
      </c>
      <c r="F18" s="6">
        <f>IFERROR('Data Sheet'!F28,0)</f>
        <v>26628</v>
      </c>
      <c r="G18" s="6">
        <f>IFERROR('Data Sheet'!G28,0)</f>
        <v>30110</v>
      </c>
      <c r="H18" s="6">
        <f>IFERROR('Data Sheet'!H28,0)</f>
        <v>33322</v>
      </c>
      <c r="I18" s="6">
        <f>IFERROR('Data Sheet'!I28,0)</f>
        <v>35988</v>
      </c>
      <c r="J18" s="6">
        <f>IFERROR('Data Sheet'!J28,0)</f>
        <v>37608</v>
      </c>
      <c r="K18" s="6">
        <f>IFERROR('Data Sheet'!K28,0)</f>
        <v>39995</v>
      </c>
      <c r="L18" s="57">
        <f>IFERROR(L14-L15-L16,0)</f>
        <v>42489.466666666682</v>
      </c>
      <c r="M18" s="57">
        <f t="shared" ref="M18:P18" si="3">IFERROR(M14-M15-M16,0)</f>
        <v>44998.096969696948</v>
      </c>
      <c r="N18" s="57">
        <f t="shared" si="3"/>
        <v>47506.727272727228</v>
      </c>
      <c r="O18" s="57">
        <f t="shared" si="3"/>
        <v>50015.357575757589</v>
      </c>
      <c r="P18" s="57">
        <f t="shared" si="3"/>
        <v>52523.987878787862</v>
      </c>
    </row>
    <row r="19" spans="1:16" x14ac:dyDescent="0.3">
      <c r="A19" t="s">
        <v>10</v>
      </c>
      <c r="B19" s="6">
        <f>IFERROR('Data Sheet'!B29,0)</f>
        <v>5598</v>
      </c>
      <c r="C19" s="6">
        <f>IFERROR('Data Sheet'!C29,0)</f>
        <v>4241</v>
      </c>
      <c r="D19" s="6">
        <f>IFERROR('Data Sheet'!D29,0)</f>
        <v>5631</v>
      </c>
      <c r="E19" s="6">
        <f>IFERROR('Data Sheet'!E29,0)</f>
        <v>5368</v>
      </c>
      <c r="F19" s="6">
        <f>IFERROR('Data Sheet'!F29,0)</f>
        <v>7205</v>
      </c>
      <c r="G19" s="6">
        <f>IFERROR('Data Sheet'!G29,0)</f>
        <v>7964</v>
      </c>
      <c r="H19" s="6">
        <f>IFERROR('Data Sheet'!H29,0)</f>
        <v>9214</v>
      </c>
      <c r="I19" s="6">
        <f>IFERROR('Data Sheet'!I29,0)</f>
        <v>9740</v>
      </c>
      <c r="J19" s="6">
        <f>IFERROR('Data Sheet'!J29,0)</f>
        <v>10858</v>
      </c>
      <c r="K19" s="6">
        <f>IFERROR('Data Sheet'!K29,0)</f>
        <v>10521</v>
      </c>
      <c r="L19" s="57">
        <f>IFERROR(FORECASTING!I56,0)</f>
        <v>11749.599999999999</v>
      </c>
      <c r="M19" s="57">
        <f>IFERROR(FORECASTING!I57,0)</f>
        <v>12497.890909090911</v>
      </c>
      <c r="N19" s="57">
        <f>IFERROR(FORECASTING!I58,0)</f>
        <v>13246.18181818182</v>
      </c>
      <c r="O19" s="57">
        <f>IFERROR(FORECASTING!I59,0)</f>
        <v>13994.472727272729</v>
      </c>
      <c r="P19" s="57">
        <f>IFERROR(FORECASTING!I60,0)</f>
        <v>14742.763636363637</v>
      </c>
    </row>
    <row r="20" spans="1:16" x14ac:dyDescent="0.3">
      <c r="B20" s="6"/>
      <c r="C20" s="6"/>
      <c r="D20" s="6"/>
      <c r="E20" s="6"/>
      <c r="F20" s="6"/>
      <c r="G20" s="6"/>
      <c r="H20" s="6"/>
      <c r="I20" s="6"/>
      <c r="J20" s="6"/>
      <c r="K20" s="6"/>
      <c r="L20" s="57"/>
      <c r="M20" s="57"/>
      <c r="N20" s="57"/>
      <c r="O20" s="55"/>
      <c r="P20" s="55"/>
    </row>
    <row r="21" spans="1:16" s="2" customFormat="1" x14ac:dyDescent="0.3">
      <c r="A21" s="2" t="s">
        <v>11</v>
      </c>
      <c r="B21" s="1">
        <f>IFERROR(B18-B19,0)</f>
        <v>14353</v>
      </c>
      <c r="C21" s="1">
        <f t="shared" ref="C21:P21" si="4">IFERROR(C18-C19,0)</f>
        <v>16029</v>
      </c>
      <c r="D21" s="1">
        <f t="shared" si="4"/>
        <v>15410</v>
      </c>
      <c r="E21" s="1">
        <f t="shared" si="4"/>
        <v>16639</v>
      </c>
      <c r="F21" s="1">
        <f t="shared" si="4"/>
        <v>19423</v>
      </c>
      <c r="G21" s="1">
        <f t="shared" si="4"/>
        <v>22146</v>
      </c>
      <c r="H21" s="1">
        <f t="shared" si="4"/>
        <v>24108</v>
      </c>
      <c r="I21" s="1">
        <f t="shared" si="4"/>
        <v>26248</v>
      </c>
      <c r="J21" s="1">
        <f t="shared" si="4"/>
        <v>26750</v>
      </c>
      <c r="K21" s="1">
        <f t="shared" si="4"/>
        <v>29474</v>
      </c>
      <c r="L21" s="54">
        <f t="shared" si="4"/>
        <v>30739.866666666683</v>
      </c>
      <c r="M21" s="54">
        <f t="shared" si="4"/>
        <v>32500.206060606037</v>
      </c>
      <c r="N21" s="54">
        <f t="shared" si="4"/>
        <v>34260.545454545412</v>
      </c>
      <c r="O21" s="54">
        <f t="shared" si="4"/>
        <v>36020.884848484857</v>
      </c>
      <c r="P21" s="54">
        <f t="shared" si="4"/>
        <v>37781.224242424229</v>
      </c>
    </row>
    <row r="22" spans="1:16" s="2" customFormat="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54"/>
      <c r="M22" s="60"/>
      <c r="N22" s="61"/>
      <c r="O22" s="59"/>
      <c r="P22" s="59"/>
    </row>
    <row r="23" spans="1:16" x14ac:dyDescent="0.3">
      <c r="A23" s="2" t="s">
        <v>64</v>
      </c>
      <c r="B23" s="16">
        <f>IFERROR('Data Sheet'!B93,0)</f>
        <v>459.39</v>
      </c>
      <c r="C23" s="16">
        <f>IFERROR('Data Sheet'!C93,0)</f>
        <v>436.82</v>
      </c>
      <c r="D23" s="16">
        <f>IFERROR('Data Sheet'!D93,0)</f>
        <v>436.89</v>
      </c>
      <c r="E23" s="16">
        <f>IFERROR('Data Sheet'!E93,0)</f>
        <v>425.9</v>
      </c>
      <c r="F23" s="16">
        <f>IFERROR('Data Sheet'!F93,0)</f>
        <v>426.07</v>
      </c>
      <c r="G23" s="16">
        <f>IFERROR('Data Sheet'!G93,0)</f>
        <v>420.67</v>
      </c>
      <c r="H23" s="16">
        <f>IFERROR('Data Sheet'!H93,0)</f>
        <v>414.86</v>
      </c>
      <c r="I23" s="16">
        <f>IFERROR('Data Sheet'!I93,0)</f>
        <v>415.09</v>
      </c>
      <c r="J23" s="16">
        <f>IFERROR('Data Sheet'!J93,0)</f>
        <v>415.33</v>
      </c>
      <c r="K23" s="16">
        <f>IFERROR('Data Sheet'!K93,0)</f>
        <v>405.56</v>
      </c>
      <c r="L23" s="58">
        <f>IFERROR(L21/L25,0)</f>
        <v>406.67056690468826</v>
      </c>
      <c r="M23" s="58">
        <f t="shared" ref="M23:P23" si="5">IFERROR(M21/M25,0)</f>
        <v>404.93140488365475</v>
      </c>
      <c r="N23" s="58">
        <f t="shared" si="5"/>
        <v>403.38357502986747</v>
      </c>
      <c r="O23" s="58">
        <f t="shared" si="5"/>
        <v>401.99714974564353</v>
      </c>
      <c r="P23" s="58">
        <f t="shared" si="5"/>
        <v>400.74813370925062</v>
      </c>
    </row>
    <row r="24" spans="1:16" x14ac:dyDescent="0.3">
      <c r="A24" s="2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55"/>
      <c r="M24" s="55"/>
      <c r="N24" s="55"/>
      <c r="O24" s="55"/>
      <c r="P24" s="55"/>
    </row>
    <row r="25" spans="1:16" s="2" customFormat="1" x14ac:dyDescent="0.3">
      <c r="A25" s="2" t="s">
        <v>35</v>
      </c>
      <c r="B25" s="6">
        <f>IFERROR(B21/B23,0)</f>
        <v>31.243605650971944</v>
      </c>
      <c r="C25" s="6">
        <f t="shared" ref="C25:K25" si="6">IFERROR(C21/C23,0)</f>
        <v>36.694748408955633</v>
      </c>
      <c r="D25" s="6">
        <f t="shared" si="6"/>
        <v>35.272036439378333</v>
      </c>
      <c r="E25" s="6">
        <f t="shared" si="6"/>
        <v>39.067856304296782</v>
      </c>
      <c r="F25" s="6">
        <f t="shared" si="6"/>
        <v>45.586405989626115</v>
      </c>
      <c r="G25" s="6">
        <f t="shared" si="6"/>
        <v>52.644590771863932</v>
      </c>
      <c r="H25" s="6">
        <f t="shared" si="6"/>
        <v>58.11117003326423</v>
      </c>
      <c r="I25" s="6">
        <f t="shared" si="6"/>
        <v>63.234479269556005</v>
      </c>
      <c r="J25" s="6">
        <f t="shared" si="6"/>
        <v>64.406616425492984</v>
      </c>
      <c r="K25" s="6">
        <f t="shared" si="6"/>
        <v>72.674820001972577</v>
      </c>
      <c r="L25" s="62">
        <f>IFERROR(FORECASTING!N15,0)</f>
        <v>75.589111109364381</v>
      </c>
      <c r="M25" s="62">
        <f>IFERROR(FORECASTING!N16,0)</f>
        <v>80.261016232969197</v>
      </c>
      <c r="N25" s="62">
        <f>IFERROR(FORECASTING!N17,0)</f>
        <v>84.932921356574028</v>
      </c>
      <c r="O25" s="62">
        <f>IFERROR(FORECASTING!N18,0)</f>
        <v>89.604826480178843</v>
      </c>
      <c r="P25" s="62">
        <f>IFERROR(FORECASTING!N19,0)</f>
        <v>94.276731603783659</v>
      </c>
    </row>
    <row r="26" spans="1:16" s="2" customFormat="1" x14ac:dyDescent="0.3">
      <c r="B26" s="6"/>
      <c r="C26" s="6"/>
      <c r="D26" s="6"/>
      <c r="E26" s="6"/>
      <c r="F26" s="6"/>
      <c r="G26" s="6"/>
      <c r="H26" s="6"/>
      <c r="I26" s="6"/>
      <c r="J26" s="6"/>
      <c r="K26" s="6"/>
      <c r="L26" s="59"/>
      <c r="M26" s="59"/>
      <c r="N26" s="59"/>
      <c r="O26" s="59"/>
      <c r="P26" s="59"/>
    </row>
    <row r="27" spans="1:16" x14ac:dyDescent="0.3">
      <c r="A27" s="2" t="s">
        <v>66</v>
      </c>
      <c r="C27" s="5">
        <f>IFERROR(C25/B25-1,0)</f>
        <v>0.17447226862608001</v>
      </c>
      <c r="D27" s="5">
        <f t="shared" ref="D27:K27" si="7">IFERROR(D25/C25-1,0)</f>
        <v>-3.8771541740018511E-2</v>
      </c>
      <c r="E27" s="5">
        <f t="shared" si="7"/>
        <v>0.10761555748113061</v>
      </c>
      <c r="F27" s="5">
        <f t="shared" si="7"/>
        <v>0.16685199296723141</v>
      </c>
      <c r="G27" s="5">
        <f t="shared" si="7"/>
        <v>0.15483091129939086</v>
      </c>
      <c r="H27" s="5">
        <f t="shared" si="7"/>
        <v>0.10383933432192105</v>
      </c>
      <c r="I27" s="5">
        <f t="shared" si="7"/>
        <v>8.8163931880205881E-2</v>
      </c>
      <c r="J27" s="5">
        <f t="shared" si="7"/>
        <v>1.8536361324972717E-2</v>
      </c>
      <c r="K27" s="5">
        <f t="shared" si="7"/>
        <v>0.12837506509978569</v>
      </c>
      <c r="L27" s="63">
        <f t="shared" ref="L27" si="8">IFERROR(L25/K25-1,0)</f>
        <v>4.0100424153960201E-2</v>
      </c>
      <c r="M27" s="63">
        <f t="shared" ref="M27" si="9">IFERROR(M25/L25-1,0)</f>
        <v>6.1806589005199086E-2</v>
      </c>
      <c r="N27" s="63">
        <f t="shared" ref="N27" si="10">IFERROR(N25/M25-1,0)</f>
        <v>5.8208895711511444E-2</v>
      </c>
      <c r="O27" s="63">
        <f t="shared" ref="O27" si="11">IFERROR(O25/N25-1,0)</f>
        <v>5.5006999040934312E-2</v>
      </c>
      <c r="P27" s="63">
        <f t="shared" ref="P27" si="12">IFERROR(P25/O25-1,0)</f>
        <v>5.2138989685318604E-2</v>
      </c>
    </row>
    <row r="28" spans="1:16" x14ac:dyDescent="0.3">
      <c r="A28" t="s">
        <v>13</v>
      </c>
      <c r="B28" s="6">
        <f t="shared" ref="B28:P28" si="13">IF(B29&gt;0,B29/B25,"")</f>
        <v>16.359507468821846</v>
      </c>
      <c r="C28" s="6">
        <f t="shared" si="13"/>
        <v>15.421825316613639</v>
      </c>
      <c r="D28" s="6">
        <f t="shared" si="13"/>
        <v>21.088943964957821</v>
      </c>
      <c r="E28" s="6">
        <f t="shared" si="13"/>
        <v>16.420148446421059</v>
      </c>
      <c r="F28" s="6">
        <f t="shared" si="13"/>
        <v>30.010042913041239</v>
      </c>
      <c r="G28" s="6">
        <f t="shared" si="13"/>
        <v>36.221195227129051</v>
      </c>
      <c r="H28" s="6">
        <f t="shared" si="13"/>
        <v>24.572728430396552</v>
      </c>
      <c r="I28" s="6">
        <f t="shared" si="13"/>
        <v>23.690398297013104</v>
      </c>
      <c r="J28" s="6">
        <f t="shared" si="13"/>
        <v>24.38646970093458</v>
      </c>
      <c r="K28" s="6">
        <f t="shared" si="13"/>
        <v>17.208160955418336</v>
      </c>
      <c r="L28" s="57">
        <f>IF(L29&gt;0,L29/L25,"")</f>
        <v>24.170685960617458</v>
      </c>
      <c r="M28" s="57">
        <f t="shared" si="13"/>
        <v>24.300966197124467</v>
      </c>
      <c r="N28" s="57">
        <f t="shared" si="13"/>
        <v>24.416913783942285</v>
      </c>
      <c r="O28" s="57">
        <f t="shared" si="13"/>
        <v>24.520770590693836</v>
      </c>
      <c r="P28" s="57">
        <f t="shared" si="13"/>
        <v>24.614334101542372</v>
      </c>
    </row>
    <row r="29" spans="1:16" x14ac:dyDescent="0.3">
      <c r="A29" t="s">
        <v>36</v>
      </c>
      <c r="B29" s="1">
        <f>IFERROR('Data Sheet'!B90,0)</f>
        <v>511.13</v>
      </c>
      <c r="C29" s="1">
        <f>IFERROR('Data Sheet'!C90,0)</f>
        <v>565.9</v>
      </c>
      <c r="D29" s="1">
        <f>IFERROR('Data Sheet'!D90,0)</f>
        <v>743.85</v>
      </c>
      <c r="E29" s="1">
        <f>IFERROR('Data Sheet'!E90,0)</f>
        <v>641.5</v>
      </c>
      <c r="F29" s="1">
        <f>IFERROR('Data Sheet'!F90,0)</f>
        <v>1368.05</v>
      </c>
      <c r="G29" s="1">
        <f>IFERROR('Data Sheet'!G90,0)</f>
        <v>1906.85</v>
      </c>
      <c r="H29" s="1">
        <f>IFERROR('Data Sheet'!H90,0)</f>
        <v>1427.95</v>
      </c>
      <c r="I29" s="1">
        <f>IFERROR('Data Sheet'!I90,0)</f>
        <v>1498.05</v>
      </c>
      <c r="J29" s="1">
        <f>IFERROR('Data Sheet'!J90,0)</f>
        <v>1570.65</v>
      </c>
      <c r="K29" s="1">
        <f>IFERROR('Data Sheet'!K90,0)</f>
        <v>1250.5999999999999</v>
      </c>
      <c r="L29" s="54">
        <f>IFERROR(FORECASTING!D76,0)</f>
        <v>1827.0406666666668</v>
      </c>
      <c r="M29" s="54">
        <f>IFERROR(FORECASTING!D77,0)</f>
        <v>1950.4202424242426</v>
      </c>
      <c r="N29" s="54">
        <f>IFERROR(FORECASTING!D78,0)</f>
        <v>2073.7998181818184</v>
      </c>
      <c r="O29" s="54">
        <f>IFERROR(FORECASTING!D79,0)</f>
        <v>2197.1793939393938</v>
      </c>
      <c r="P29" s="54">
        <f>IFERROR(FORECASTING!D80,0)</f>
        <v>2320.5589696969696</v>
      </c>
    </row>
    <row r="30" spans="1:16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63"/>
      <c r="M30" s="64"/>
      <c r="N30" s="64"/>
      <c r="O30" s="55"/>
      <c r="P30" s="55"/>
    </row>
    <row r="31" spans="1:16" s="2" customFormat="1" x14ac:dyDescent="0.3">
      <c r="A31" t="s">
        <v>12</v>
      </c>
      <c r="L31" s="63"/>
      <c r="M31" s="64"/>
      <c r="N31" s="64"/>
      <c r="O31" s="59"/>
      <c r="P31" s="59"/>
    </row>
    <row r="32" spans="1:16" s="2" customFormat="1" x14ac:dyDescent="0.3">
      <c r="A32" s="2" t="s">
        <v>65</v>
      </c>
      <c r="B32" s="17">
        <f>IFERROR('Data Sheet'!B31/'Profit &amp; Loss'!B23,0)</f>
        <v>12.824832930625396</v>
      </c>
      <c r="C32" s="17">
        <f>IFERROR('Data Sheet'!C31/'Profit &amp; Loss'!C23,0)</f>
        <v>21.669337484547412</v>
      </c>
      <c r="D32" s="17">
        <f>IFERROR('Data Sheet'!D31/'Profit &amp; Loss'!D23,0)</f>
        <v>21.109432580283368</v>
      </c>
      <c r="E32" s="17">
        <f>IFERROR('Data Sheet'!E31/'Profit &amp; Loss'!E23,0)</f>
        <v>17.438365813571263</v>
      </c>
      <c r="F32" s="17">
        <f>IFERROR('Data Sheet'!F31/'Profit &amp; Loss'!F23,0)</f>
        <v>26.919520266622857</v>
      </c>
      <c r="G32" s="17">
        <f>IFERROR('Data Sheet'!G31/'Profit &amp; Loss'!G23,0)</f>
        <v>30.921149594694178</v>
      </c>
      <c r="H32" s="17">
        <f>IFERROR('Data Sheet'!H31/'Profit &amp; Loss'!H23,0)</f>
        <v>33.913127320059779</v>
      </c>
      <c r="I32" s="17">
        <f>IFERROR('Data Sheet'!I31/'Profit &amp; Loss'!I23,0)</f>
        <v>45.901370787058234</v>
      </c>
      <c r="J32" s="17">
        <f>IFERROR('Data Sheet'!J31/'Profit &amp; Loss'!J23,0)</f>
        <v>42.924421544314157</v>
      </c>
      <c r="K32" s="17">
        <f>IFERROR('Data Sheet'!K31/'Profit &amp; Loss'!K23,0)</f>
        <v>47.910050300818625</v>
      </c>
      <c r="L32" s="62">
        <f>IFERROR(L37/L23,0)</f>
        <v>51.769683817813458</v>
      </c>
      <c r="M32" s="62">
        <f t="shared" ref="M32:P32" si="14">IFERROR(M37/M23,0)</f>
        <v>55.748788262054546</v>
      </c>
      <c r="N32" s="62">
        <f t="shared" si="14"/>
        <v>59.733873979820657</v>
      </c>
      <c r="O32" s="62">
        <f t="shared" si="14"/>
        <v>63.724064057222165</v>
      </c>
      <c r="P32" s="62">
        <f t="shared" si="14"/>
        <v>67.718645012455028</v>
      </c>
    </row>
    <row r="33" spans="1:16" x14ac:dyDescent="0.3">
      <c r="A33" t="s">
        <v>14</v>
      </c>
      <c r="B33" s="5">
        <f t="shared" ref="B33:P33" si="15">IF(B8&gt;0,B8/B4,0)</f>
        <v>0.34862157584253256</v>
      </c>
      <c r="C33" s="5">
        <f t="shared" si="15"/>
        <v>0.34212018944442868</v>
      </c>
      <c r="D33" s="5">
        <f t="shared" si="15"/>
        <v>0.32934986392500754</v>
      </c>
      <c r="E33" s="5">
        <f t="shared" si="15"/>
        <v>0.31479992510270843</v>
      </c>
      <c r="F33" s="5">
        <f t="shared" si="15"/>
        <v>0.31831754120550998</v>
      </c>
      <c r="G33" s="5">
        <f t="shared" si="15"/>
        <v>0.30271043480405457</v>
      </c>
      <c r="H33" s="5">
        <f t="shared" si="15"/>
        <v>0.28539794367943749</v>
      </c>
      <c r="I33" s="5">
        <f t="shared" si="15"/>
        <v>0.28398516301164833</v>
      </c>
      <c r="J33" s="5">
        <f t="shared" si="15"/>
        <v>0.2847107184489846</v>
      </c>
      <c r="K33" s="5">
        <f t="shared" si="15"/>
        <v>0.28207668625804644</v>
      </c>
      <c r="L33" s="63">
        <f t="shared" si="15"/>
        <v>0.27766353196700488</v>
      </c>
      <c r="M33" s="63">
        <f t="shared" si="15"/>
        <v>0.2751437086894431</v>
      </c>
      <c r="N33" s="63">
        <f t="shared" si="15"/>
        <v>0.27293128716128234</v>
      </c>
      <c r="O33" s="63">
        <f t="shared" si="15"/>
        <v>0.2709732498127424</v>
      </c>
      <c r="P33" s="63">
        <f t="shared" si="15"/>
        <v>0.26922810818371284</v>
      </c>
    </row>
    <row r="34" spans="1:16" x14ac:dyDescent="0.3">
      <c r="A34" s="2" t="s">
        <v>67</v>
      </c>
      <c r="B34" s="5">
        <f>IFERROR(B32/B25,0)</f>
        <v>0.4104786455793214</v>
      </c>
      <c r="C34" s="5">
        <f t="shared" ref="C34:J34" si="16">IFERROR(C32/C25,0)</f>
        <v>0.59052966498221982</v>
      </c>
      <c r="D34" s="5">
        <f t="shared" si="16"/>
        <v>0.59847501622323174</v>
      </c>
      <c r="E34" s="5">
        <f t="shared" si="16"/>
        <v>0.44636095919225921</v>
      </c>
      <c r="F34" s="5">
        <f t="shared" si="16"/>
        <v>0.59051639808474499</v>
      </c>
      <c r="G34" s="5">
        <f t="shared" si="16"/>
        <v>0.58735663325205456</v>
      </c>
      <c r="H34" s="5">
        <f t="shared" si="16"/>
        <v>0.58359050937448154</v>
      </c>
      <c r="I34" s="5">
        <f t="shared" si="16"/>
        <v>0.72589149649497109</v>
      </c>
      <c r="J34" s="5">
        <f t="shared" si="16"/>
        <v>0.66645981308411206</v>
      </c>
      <c r="K34" s="5">
        <f>IFERROR(K32/K25,0)</f>
        <v>0.65923865101445356</v>
      </c>
      <c r="L34" s="63">
        <f t="shared" ref="L34:P34" si="17">IFERROR(L32/L25,0)</f>
        <v>0.68488282317424887</v>
      </c>
      <c r="M34" s="63">
        <f t="shared" si="17"/>
        <v>0.69459360071190268</v>
      </c>
      <c r="N34" s="63">
        <f t="shared" si="17"/>
        <v>0.70330648028742393</v>
      </c>
      <c r="O34" s="63">
        <f t="shared" si="17"/>
        <v>0.71116776361726819</v>
      </c>
      <c r="P34" s="63">
        <f t="shared" si="17"/>
        <v>0.71829648589278461</v>
      </c>
    </row>
    <row r="35" spans="1:16" x14ac:dyDescent="0.3">
      <c r="A35" s="2" t="s">
        <v>68</v>
      </c>
      <c r="B35" s="5">
        <f>IFERROR(1-B34,0)</f>
        <v>0.58952135442067854</v>
      </c>
      <c r="C35" s="5">
        <f t="shared" ref="C35:P35" si="18">IFERROR(1-C34,0)</f>
        <v>0.40947033501778018</v>
      </c>
      <c r="D35" s="5">
        <f t="shared" si="18"/>
        <v>0.40152498377676826</v>
      </c>
      <c r="E35" s="5">
        <f t="shared" si="18"/>
        <v>0.55363904080774073</v>
      </c>
      <c r="F35" s="5">
        <f t="shared" si="18"/>
        <v>0.40948360191525501</v>
      </c>
      <c r="G35" s="5">
        <f t="shared" si="18"/>
        <v>0.41264336674794544</v>
      </c>
      <c r="H35" s="5">
        <f t="shared" si="18"/>
        <v>0.41640949062551846</v>
      </c>
      <c r="I35" s="5">
        <f t="shared" si="18"/>
        <v>0.27410850350502891</v>
      </c>
      <c r="J35" s="5">
        <f t="shared" si="18"/>
        <v>0.33354018691588794</v>
      </c>
      <c r="K35" s="5">
        <f t="shared" si="18"/>
        <v>0.34076134898554644</v>
      </c>
      <c r="L35" s="63">
        <f t="shared" si="18"/>
        <v>0.31511717682575113</v>
      </c>
      <c r="M35" s="63">
        <f t="shared" si="18"/>
        <v>0.30540639928809732</v>
      </c>
      <c r="N35" s="63">
        <f t="shared" si="18"/>
        <v>0.29669351971257607</v>
      </c>
      <c r="O35" s="63">
        <f t="shared" si="18"/>
        <v>0.28883223638273181</v>
      </c>
      <c r="P35" s="63">
        <f t="shared" si="18"/>
        <v>0.28170351410721539</v>
      </c>
    </row>
    <row r="36" spans="1:16" x14ac:dyDescent="0.3">
      <c r="L36" s="55"/>
      <c r="M36" s="55"/>
      <c r="N36" s="55"/>
      <c r="O36" s="55"/>
      <c r="P36" s="55"/>
    </row>
    <row r="37" spans="1:16" x14ac:dyDescent="0.3">
      <c r="A37" s="2" t="s">
        <v>136</v>
      </c>
      <c r="B37">
        <f>IFERROR('Data Sheet'!B31,0)</f>
        <v>5891.6</v>
      </c>
      <c r="C37">
        <f>IFERROR('Data Sheet'!C31,0)</f>
        <v>9465.6</v>
      </c>
      <c r="D37">
        <f>IFERROR('Data Sheet'!D31,0)</f>
        <v>9222.5</v>
      </c>
      <c r="E37">
        <f>IFERROR('Data Sheet'!E31,0)</f>
        <v>7427</v>
      </c>
      <c r="F37">
        <f>IFERROR('Data Sheet'!F31,0)</f>
        <v>11469.6</v>
      </c>
      <c r="G37">
        <f>IFERROR('Data Sheet'!G31,0)</f>
        <v>13007.6</v>
      </c>
      <c r="H37">
        <f>IFERROR('Data Sheet'!H31,0)</f>
        <v>14069.2</v>
      </c>
      <c r="I37">
        <f>IFERROR('Data Sheet'!I31,0)</f>
        <v>19053.2</v>
      </c>
      <c r="J37">
        <f>IFERROR('Data Sheet'!J31,0)</f>
        <v>17827.8</v>
      </c>
      <c r="K37">
        <f>IFERROR('Data Sheet'!K31,0)</f>
        <v>19430.400000000001</v>
      </c>
      <c r="L37" s="56">
        <f>IFERROR(FORECASTING!I76,0)</f>
        <v>21053.206666666665</v>
      </c>
      <c r="M37" s="56">
        <f>IFERROR(FORECASTING!I77,0)</f>
        <v>22574.43515151515</v>
      </c>
      <c r="N37" s="56">
        <f>IFERROR(FORECASTING!I78,0)</f>
        <v>24095.663636363635</v>
      </c>
      <c r="O37" s="56">
        <f>IFERROR(FORECASTING!I79,0)</f>
        <v>25616.89212121212</v>
      </c>
      <c r="P37" s="56">
        <f>IFERROR(FORECASTING!I80,0)</f>
        <v>27138.120606060605</v>
      </c>
    </row>
    <row r="53" spans="1:16" x14ac:dyDescent="0.3">
      <c r="A53" s="7"/>
      <c r="B53" s="8"/>
      <c r="C53" s="8"/>
      <c r="D53" s="8"/>
      <c r="E53" s="8"/>
      <c r="F53" s="8"/>
      <c r="G53" s="9"/>
      <c r="H53" s="9"/>
      <c r="I53" s="9"/>
    </row>
    <row r="54" spans="1:16" x14ac:dyDescent="0.3">
      <c r="G54" s="5"/>
      <c r="H54" s="11"/>
      <c r="I54" s="11"/>
    </row>
    <row r="55" spans="1:16" x14ac:dyDescent="0.3">
      <c r="G55" s="5"/>
      <c r="H55" s="11"/>
      <c r="I55" s="11"/>
    </row>
    <row r="56" spans="1:16" x14ac:dyDescent="0.3">
      <c r="G56" s="6"/>
      <c r="H56" s="1"/>
      <c r="I56" s="1"/>
    </row>
    <row r="58" spans="1:16" x14ac:dyDescent="0.3">
      <c r="A58" t="s">
        <v>69</v>
      </c>
      <c r="B58" s="5">
        <f>IFERROR(B6/B4,0)</f>
        <v>0.65137842415746738</v>
      </c>
      <c r="C58" s="5">
        <f t="shared" ref="C58:P58" si="19">IFERROR(C6/C4,0)</f>
        <v>0.65787981055557132</v>
      </c>
      <c r="D58" s="5">
        <f t="shared" si="19"/>
        <v>0.67065013607499246</v>
      </c>
      <c r="E58" s="5">
        <f t="shared" si="19"/>
        <v>0.68520007489729162</v>
      </c>
      <c r="F58" s="5">
        <f t="shared" si="19"/>
        <v>0.68168245879448996</v>
      </c>
      <c r="G58" s="5">
        <f t="shared" si="19"/>
        <v>0.69728956519594543</v>
      </c>
      <c r="H58" s="5">
        <f t="shared" si="19"/>
        <v>0.71460205632056251</v>
      </c>
      <c r="I58" s="5">
        <f t="shared" si="19"/>
        <v>0.71601483698835167</v>
      </c>
      <c r="J58" s="5">
        <f t="shared" si="19"/>
        <v>0.71528928155101545</v>
      </c>
      <c r="K58" s="5">
        <f t="shared" si="19"/>
        <v>0.71792331374195351</v>
      </c>
      <c r="L58" s="49">
        <f t="shared" si="19"/>
        <v>0.72233646803299512</v>
      </c>
      <c r="M58" s="49">
        <f t="shared" si="19"/>
        <v>0.72485629131055695</v>
      </c>
      <c r="N58" s="49">
        <f t="shared" si="19"/>
        <v>0.72706871283871766</v>
      </c>
      <c r="O58" s="49">
        <f t="shared" si="19"/>
        <v>0.7290267501872576</v>
      </c>
      <c r="P58" s="49">
        <f t="shared" si="19"/>
        <v>0.73077189181628721</v>
      </c>
    </row>
    <row r="59" spans="1:16" x14ac:dyDescent="0.3">
      <c r="A59" t="s">
        <v>70</v>
      </c>
      <c r="B59" s="5">
        <f>IFERROR(B14/B4,0)</f>
        <v>0.31619064306991412</v>
      </c>
      <c r="C59" s="5">
        <f t="shared" ref="C59:P59" si="20">IFERROR(C14/C4,0)</f>
        <v>0.31384532486316324</v>
      </c>
      <c r="D59" s="5">
        <f t="shared" si="20"/>
        <v>0.2788267311762927</v>
      </c>
      <c r="E59" s="5">
        <f t="shared" si="20"/>
        <v>0.27612869116982963</v>
      </c>
      <c r="F59" s="5">
        <f t="shared" si="20"/>
        <v>0.29948642407835019</v>
      </c>
      <c r="G59" s="5">
        <f t="shared" si="20"/>
        <v>0.27775174488864773</v>
      </c>
      <c r="H59" s="5">
        <f t="shared" si="20"/>
        <v>0.25776230351509538</v>
      </c>
      <c r="I59" s="5">
        <f t="shared" si="20"/>
        <v>0.26769050562894514</v>
      </c>
      <c r="J59" s="5">
        <f t="shared" si="20"/>
        <v>0.26281366955027918</v>
      </c>
      <c r="K59" s="5">
        <f t="shared" si="20"/>
        <v>0.25364119787293593</v>
      </c>
      <c r="L59" s="49">
        <f t="shared" si="20"/>
        <v>0.25538209797319306</v>
      </c>
      <c r="M59" s="49">
        <f t="shared" si="20"/>
        <v>0.25338206888375203</v>
      </c>
      <c r="N59" s="49">
        <f t="shared" si="20"/>
        <v>0.25162603009570311</v>
      </c>
      <c r="O59" s="49">
        <f t="shared" si="20"/>
        <v>0.25007190060965401</v>
      </c>
      <c r="P59" s="49">
        <f t="shared" si="20"/>
        <v>0.24868675028806836</v>
      </c>
    </row>
    <row r="60" spans="1:16" x14ac:dyDescent="0.3">
      <c r="A60" t="s">
        <v>71</v>
      </c>
      <c r="B60" s="5">
        <f>IFERROR(B11/B4,0)</f>
        <v>0.39315752584545294</v>
      </c>
      <c r="C60" s="5">
        <f t="shared" ref="C60:P60" si="21">IFERROR(C11/C4,0)</f>
        <v>0.38907007742264826</v>
      </c>
      <c r="D60" s="5">
        <f t="shared" si="21"/>
        <v>0.36420925309948593</v>
      </c>
      <c r="E60" s="5">
        <f t="shared" si="21"/>
        <v>0.34567302926501525</v>
      </c>
      <c r="F60" s="5">
        <f t="shared" si="21"/>
        <v>0.34022414204952622</v>
      </c>
      <c r="G60" s="5">
        <f t="shared" si="21"/>
        <v>0.32157742866303302</v>
      </c>
      <c r="H60" s="5">
        <f t="shared" si="21"/>
        <v>0.30380126322674716</v>
      </c>
      <c r="I60" s="5">
        <f t="shared" si="21"/>
        <v>0.3146417648207197</v>
      </c>
      <c r="J60" s="5">
        <f t="shared" si="21"/>
        <v>0.30679796306521873</v>
      </c>
      <c r="K60" s="5">
        <f t="shared" si="21"/>
        <v>0.29905401623285754</v>
      </c>
      <c r="L60" s="49">
        <f t="shared" si="21"/>
        <v>0.2956168118487027</v>
      </c>
      <c r="M60" s="49">
        <f t="shared" si="21"/>
        <v>0.2922522473621415</v>
      </c>
      <c r="N60" s="49">
        <f t="shared" si="21"/>
        <v>0.28929813745719779</v>
      </c>
      <c r="O60" s="49">
        <f t="shared" si="21"/>
        <v>0.28668369104545072</v>
      </c>
      <c r="P60" s="49">
        <f t="shared" si="21"/>
        <v>0.28435351114698815</v>
      </c>
    </row>
    <row r="61" spans="1:16" x14ac:dyDescent="0.3">
      <c r="A61" t="s">
        <v>72</v>
      </c>
      <c r="B61" s="5">
        <f>IFERROR(B12/B4,0)</f>
        <v>7.6966882775538814E-2</v>
      </c>
      <c r="C61" s="5">
        <f t="shared" ref="C61:P61" si="22">IFERROR(C12/C4,0)</f>
        <v>7.5224752559484978E-2</v>
      </c>
      <c r="D61" s="5">
        <f t="shared" si="22"/>
        <v>8.5382521923193233E-2</v>
      </c>
      <c r="E61" s="5">
        <f t="shared" si="22"/>
        <v>6.9544338095185648E-2</v>
      </c>
      <c r="F61" s="5">
        <f t="shared" si="22"/>
        <v>4.0737717971176049E-2</v>
      </c>
      <c r="G61" s="5">
        <f t="shared" si="22"/>
        <v>4.3825683774385282E-2</v>
      </c>
      <c r="H61" s="5">
        <f t="shared" si="22"/>
        <v>4.6038959711651804E-2</v>
      </c>
      <c r="I61" s="5">
        <f t="shared" si="22"/>
        <v>4.6951259191774584E-2</v>
      </c>
      <c r="J61" s="5">
        <f t="shared" si="22"/>
        <v>4.3984293514939564E-2</v>
      </c>
      <c r="K61" s="5">
        <f t="shared" si="22"/>
        <v>4.5412818359921635E-2</v>
      </c>
      <c r="L61" s="49">
        <f t="shared" si="22"/>
        <v>4.0234713875509642E-2</v>
      </c>
      <c r="M61" s="49">
        <f t="shared" si="22"/>
        <v>3.8870178478389507E-2</v>
      </c>
      <c r="N61" s="49">
        <f t="shared" si="22"/>
        <v>3.7672107361494664E-2</v>
      </c>
      <c r="O61" s="49">
        <f t="shared" si="22"/>
        <v>3.6611790435796703E-2</v>
      </c>
      <c r="P61" s="49">
        <f t="shared" si="22"/>
        <v>3.5666760858919781E-2</v>
      </c>
    </row>
    <row r="62" spans="1:16" x14ac:dyDescent="0.3">
      <c r="A62" t="s">
        <v>73</v>
      </c>
      <c r="B62" s="5">
        <f>IFERROR(B18/B4,0)</f>
        <v>0.29132352082238189</v>
      </c>
      <c r="C62" s="5">
        <f t="shared" ref="C62:P62" si="23">IFERROR(C18/C4,0)</f>
        <v>0.28742803664104816</v>
      </c>
      <c r="D62" s="5">
        <f t="shared" si="23"/>
        <v>0.25450257030541273</v>
      </c>
      <c r="E62" s="5">
        <f t="shared" si="23"/>
        <v>0.24239186703527882</v>
      </c>
      <c r="F62" s="5">
        <f t="shared" si="23"/>
        <v>0.26502906282347322</v>
      </c>
      <c r="G62" s="5">
        <f t="shared" si="23"/>
        <v>0.24753167106485477</v>
      </c>
      <c r="H62" s="5">
        <f t="shared" si="23"/>
        <v>0.22704013845074164</v>
      </c>
      <c r="I62" s="5">
        <f t="shared" si="23"/>
        <v>0.2341901477191384</v>
      </c>
      <c r="J62" s="5">
        <f t="shared" si="23"/>
        <v>0.23073808209092583</v>
      </c>
      <c r="K62" s="5">
        <f t="shared" si="23"/>
        <v>0.22387349566190876</v>
      </c>
      <c r="L62" s="49">
        <f t="shared" si="23"/>
        <v>0.22312661960066021</v>
      </c>
      <c r="M62" s="49">
        <f t="shared" si="23"/>
        <v>0.22095046583982159</v>
      </c>
      <c r="N62" s="49">
        <f t="shared" si="23"/>
        <v>0.21903978842369498</v>
      </c>
      <c r="O62" s="49">
        <f t="shared" si="23"/>
        <v>0.21734880065569148</v>
      </c>
      <c r="P62" s="49">
        <f t="shared" si="23"/>
        <v>0.215841672535626</v>
      </c>
    </row>
    <row r="63" spans="1:16" x14ac:dyDescent="0.3">
      <c r="A63" t="s">
        <v>74</v>
      </c>
      <c r="B63" s="5">
        <f>IFERROR(B21/B4,0)</f>
        <v>0.20958180012849717</v>
      </c>
      <c r="C63" s="5">
        <f t="shared" ref="C63:P63" si="24">IFERROR(C21/C4,0)</f>
        <v>0.22729077451008195</v>
      </c>
      <c r="D63" s="5">
        <f t="shared" si="24"/>
        <v>0.18639250075597219</v>
      </c>
      <c r="E63" s="5">
        <f t="shared" si="24"/>
        <v>0.18326706391602693</v>
      </c>
      <c r="F63" s="5">
        <f t="shared" si="24"/>
        <v>0.19331754120550998</v>
      </c>
      <c r="G63" s="5">
        <f t="shared" si="24"/>
        <v>0.1820603250548746</v>
      </c>
      <c r="H63" s="5">
        <f t="shared" si="24"/>
        <v>0.16426035825492105</v>
      </c>
      <c r="I63" s="5">
        <f t="shared" si="24"/>
        <v>0.17080757467300059</v>
      </c>
      <c r="J63" s="5">
        <f t="shared" si="24"/>
        <v>0.16412049819007302</v>
      </c>
      <c r="K63" s="5">
        <f t="shared" si="24"/>
        <v>0.16498180800447804</v>
      </c>
      <c r="L63" s="49">
        <f t="shared" si="24"/>
        <v>0.16142547963985621</v>
      </c>
      <c r="M63" s="49">
        <f t="shared" si="24"/>
        <v>0.15958309689889666</v>
      </c>
      <c r="N63" s="49">
        <f t="shared" si="24"/>
        <v>0.15796547264901087</v>
      </c>
      <c r="O63" s="49">
        <f t="shared" si="24"/>
        <v>0.15653384280051036</v>
      </c>
      <c r="P63" s="49">
        <f t="shared" si="24"/>
        <v>0.15525787283607489</v>
      </c>
    </row>
  </sheetData>
  <printOptions gridLines="1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92D050"/>
    <pageSetUpPr fitToPage="1"/>
  </sheetPr>
  <dimension ref="A1:P24"/>
  <sheetViews>
    <sheetView zoomScale="125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I8" sqref="I8"/>
    </sheetView>
  </sheetViews>
  <sheetFormatPr defaultColWidth="8.77734375" defaultRowHeight="14.4" x14ac:dyDescent="0.3"/>
  <cols>
    <col min="1" max="1" width="32.6640625" customWidth="1"/>
    <col min="2" max="2" width="13.44140625" customWidth="1"/>
    <col min="3" max="11" width="15.44140625" customWidth="1"/>
    <col min="12" max="12" width="14.5546875" customWidth="1"/>
    <col min="13" max="13" width="14.33203125" customWidth="1"/>
    <col min="14" max="14" width="13.88671875" customWidth="1"/>
    <col min="15" max="15" width="13.44140625" customWidth="1"/>
    <col min="16" max="16" width="13.33203125" customWidth="1"/>
  </cols>
  <sheetData>
    <row r="1" spans="1:16" s="2" customFormat="1" x14ac:dyDescent="0.3">
      <c r="A1" s="2" t="str">
        <f>'Profit &amp; Loss'!A1</f>
        <v>INFOSYS LTD</v>
      </c>
      <c r="E1" t="str">
        <f>UPDATE</f>
        <v/>
      </c>
      <c r="G1"/>
      <c r="J1" s="2" t="s">
        <v>1</v>
      </c>
    </row>
    <row r="2" spans="1:16" x14ac:dyDescent="0.3">
      <c r="G2" s="2"/>
      <c r="H2" s="2"/>
    </row>
    <row r="3" spans="1:16" x14ac:dyDescent="0.3">
      <c r="A3" s="7" t="s">
        <v>2</v>
      </c>
      <c r="B3" s="8">
        <f>'Data Sheet'!B56</f>
        <v>42825</v>
      </c>
      <c r="C3" s="8">
        <f>'Data Sheet'!C56</f>
        <v>43190</v>
      </c>
      <c r="D3" s="8">
        <f>'Data Sheet'!D56</f>
        <v>43555</v>
      </c>
      <c r="E3" s="8">
        <f>'Data Sheet'!E56</f>
        <v>43921</v>
      </c>
      <c r="F3" s="8">
        <f>'Data Sheet'!F56</f>
        <v>44286</v>
      </c>
      <c r="G3" s="8">
        <f>'Data Sheet'!G56</f>
        <v>44651</v>
      </c>
      <c r="H3" s="8">
        <f>'Data Sheet'!H56</f>
        <v>45016</v>
      </c>
      <c r="I3" s="8">
        <f>'Data Sheet'!I56</f>
        <v>45382</v>
      </c>
      <c r="J3" s="8">
        <f>'Data Sheet'!J56</f>
        <v>45747</v>
      </c>
      <c r="K3" s="8">
        <f>'Data Sheet'!K56</f>
        <v>46112</v>
      </c>
      <c r="L3" s="53">
        <v>46473</v>
      </c>
      <c r="M3" s="53">
        <v>46840</v>
      </c>
      <c r="N3" s="53">
        <v>47206</v>
      </c>
      <c r="O3" s="53">
        <v>47572</v>
      </c>
      <c r="P3" s="53">
        <v>47938</v>
      </c>
    </row>
    <row r="4" spans="1:16" x14ac:dyDescent="0.3">
      <c r="A4" t="s">
        <v>15</v>
      </c>
      <c r="B4" s="10">
        <f>IFERROR('Data Sheet'!B57,0)</f>
        <v>1144</v>
      </c>
      <c r="C4" s="10">
        <f>IFERROR('Data Sheet'!C57,0)</f>
        <v>1088</v>
      </c>
      <c r="D4" s="10">
        <f>IFERROR('Data Sheet'!D57,0)</f>
        <v>2170</v>
      </c>
      <c r="E4" s="10">
        <f>IFERROR('Data Sheet'!E57,0)</f>
        <v>2122</v>
      </c>
      <c r="F4" s="10">
        <f>IFERROR('Data Sheet'!F57,0)</f>
        <v>2124</v>
      </c>
      <c r="G4" s="10">
        <f>IFERROR('Data Sheet'!G57,0)</f>
        <v>2098</v>
      </c>
      <c r="H4" s="10">
        <f>IFERROR('Data Sheet'!H57,0)</f>
        <v>2069</v>
      </c>
      <c r="I4" s="10">
        <f>IFERROR('Data Sheet'!I57,0)</f>
        <v>2071</v>
      </c>
      <c r="J4" s="10">
        <f>IFERROR('Data Sheet'!J57,0)</f>
        <v>2073</v>
      </c>
      <c r="K4" s="10">
        <f>IFERROR('Data Sheet'!K57,0)</f>
        <v>2024</v>
      </c>
      <c r="L4" s="55">
        <f>IFERROR(FORECASTING!N76,0)</f>
        <v>2369.4666666666667</v>
      </c>
      <c r="M4" s="55">
        <f>IFERROR(FORECASTING!N77,0)</f>
        <v>2455.1333333333332</v>
      </c>
      <c r="N4" s="55">
        <f>IFERROR(FORECASTING!N78,0)</f>
        <v>2540.8000000000002</v>
      </c>
      <c r="O4" s="55">
        <f>IFERROR(FORECASTING!N79,0)</f>
        <v>2626.4666666666667</v>
      </c>
      <c r="P4" s="55">
        <f>IFERROR(FORECASTING!N80,0)</f>
        <v>2712.1333333333332</v>
      </c>
    </row>
    <row r="5" spans="1:16" x14ac:dyDescent="0.3">
      <c r="A5" t="s">
        <v>16</v>
      </c>
      <c r="B5" s="10">
        <f>IFERROR('Data Sheet'!B58,0)</f>
        <v>67838</v>
      </c>
      <c r="C5" s="10">
        <f>IFERROR('Data Sheet'!C58,0)</f>
        <v>63835</v>
      </c>
      <c r="D5" s="10">
        <f>IFERROR('Data Sheet'!D58,0)</f>
        <v>62778</v>
      </c>
      <c r="E5" s="10">
        <f>IFERROR('Data Sheet'!E58,0)</f>
        <v>63328</v>
      </c>
      <c r="F5" s="10">
        <f>IFERROR('Data Sheet'!F58,0)</f>
        <v>74227</v>
      </c>
      <c r="G5" s="10">
        <f>IFERROR('Data Sheet'!G58,0)</f>
        <v>73252</v>
      </c>
      <c r="H5" s="10">
        <f>IFERROR('Data Sheet'!H58,0)</f>
        <v>73338</v>
      </c>
      <c r="I5" s="10">
        <f>IFERROR('Data Sheet'!I58,0)</f>
        <v>86045</v>
      </c>
      <c r="J5" s="10">
        <f>IFERROR('Data Sheet'!J58,0)</f>
        <v>93745</v>
      </c>
      <c r="K5" s="10">
        <f>IFERROR('Data Sheet'!K58,0)</f>
        <v>90828</v>
      </c>
      <c r="L5" s="55">
        <f>IFERROR(FORECASTING!D96,0)</f>
        <v>93643.733333333337</v>
      </c>
      <c r="M5" s="55">
        <f>IFERROR(FORECASTING!D97,0)</f>
        <v>97047.793939393945</v>
      </c>
      <c r="N5" s="55">
        <f>IFERROR(FORECASTING!D98,0)</f>
        <v>100451.85454545455</v>
      </c>
      <c r="O5" s="55">
        <f>IFERROR(FORECASTING!D99,0)</f>
        <v>103855.91515151515</v>
      </c>
      <c r="P5" s="55">
        <f>IFERROR(FORECASTING!D100,0)</f>
        <v>107259.97575757575</v>
      </c>
    </row>
    <row r="6" spans="1:16" x14ac:dyDescent="0.3">
      <c r="A6" t="s">
        <v>42</v>
      </c>
      <c r="B6" s="10">
        <f>IFERROR('Data Sheet'!B59,0)</f>
        <v>0</v>
      </c>
      <c r="C6" s="10">
        <f>IFERROR('Data Sheet'!C59,0)</f>
        <v>0</v>
      </c>
      <c r="D6" s="10">
        <f>IFERROR('Data Sheet'!D59,0)</f>
        <v>0</v>
      </c>
      <c r="E6" s="10">
        <f>IFERROR('Data Sheet'!E59,0)</f>
        <v>4633</v>
      </c>
      <c r="F6" s="10">
        <f>IFERROR('Data Sheet'!F59,0)</f>
        <v>5325</v>
      </c>
      <c r="G6" s="10">
        <f>IFERROR('Data Sheet'!G59,0)</f>
        <v>5474</v>
      </c>
      <c r="H6" s="10">
        <f>IFERROR('Data Sheet'!H59,0)</f>
        <v>8299</v>
      </c>
      <c r="I6" s="10">
        <f>IFERROR('Data Sheet'!I59,0)</f>
        <v>8359</v>
      </c>
      <c r="J6" s="10">
        <f>IFERROR('Data Sheet'!J59,0)</f>
        <v>8227</v>
      </c>
      <c r="K6" s="10">
        <f>IFERROR('Data Sheet'!K59,0)</f>
        <v>9176</v>
      </c>
      <c r="L6" s="55">
        <f>IFERROR(FORECASTING!I96,0)</f>
        <v>11386.466666666667</v>
      </c>
      <c r="M6" s="55">
        <f>IFERROR(FORECASTING!I97,0)</f>
        <v>12556.860606060607</v>
      </c>
      <c r="N6" s="55">
        <f>IFERROR(FORECASTING!I98,0)</f>
        <v>13727.254545454543</v>
      </c>
      <c r="O6" s="55">
        <f>IFERROR(FORECASTING!I99,0)</f>
        <v>14897.648484848483</v>
      </c>
      <c r="P6" s="55">
        <f>IFERROR(FORECASTING!I100,0)</f>
        <v>16068.042424242423</v>
      </c>
    </row>
    <row r="7" spans="1:16" x14ac:dyDescent="0.3">
      <c r="A7" t="s">
        <v>43</v>
      </c>
      <c r="B7" s="10">
        <f>IFERROR('Data Sheet'!B60,0)</f>
        <v>14166</v>
      </c>
      <c r="C7" s="10">
        <f>IFERROR('Data Sheet'!C60,0)</f>
        <v>14426</v>
      </c>
      <c r="D7" s="10">
        <f>IFERROR('Data Sheet'!D60,0)</f>
        <v>19118</v>
      </c>
      <c r="E7" s="10">
        <f>IFERROR('Data Sheet'!E60,0)</f>
        <v>21717</v>
      </c>
      <c r="F7" s="10">
        <f>IFERROR('Data Sheet'!F60,0)</f>
        <v>25835</v>
      </c>
      <c r="G7" s="10">
        <f>IFERROR('Data Sheet'!G60,0)</f>
        <v>35905</v>
      </c>
      <c r="H7" s="10">
        <f>IFERROR('Data Sheet'!H60,0)</f>
        <v>40890</v>
      </c>
      <c r="I7" s="10">
        <f>IFERROR('Data Sheet'!I60,0)</f>
        <v>39545</v>
      </c>
      <c r="J7" s="10">
        <f>IFERROR('Data Sheet'!J60,0)</f>
        <v>43750</v>
      </c>
      <c r="K7" s="10">
        <f>IFERROR('Data Sheet'!K60,0)</f>
        <v>52260</v>
      </c>
      <c r="L7" s="65">
        <f>IFERROR(FORECASTING!$N96,0)</f>
        <v>54689.133333333331</v>
      </c>
      <c r="M7" s="65">
        <f>IFERROR(FORECASTING!N97,0)</f>
        <v>59039.666666666672</v>
      </c>
      <c r="N7" s="65">
        <f>IFERROR(FORECASTING!N98,0)</f>
        <v>63390.200000000012</v>
      </c>
      <c r="O7" s="65">
        <f>IFERROR(FORECASTING!N99,0)</f>
        <v>67740.733333333337</v>
      </c>
      <c r="P7" s="65">
        <f>IFERROR(FORECASTING!$N100,0)</f>
        <v>72091.266666666677</v>
      </c>
    </row>
    <row r="8" spans="1:16" s="2" customFormat="1" x14ac:dyDescent="0.3">
      <c r="A8" s="2" t="s">
        <v>75</v>
      </c>
      <c r="B8" s="51">
        <f>IFERROR('Data Sheet'!B61,0)</f>
        <v>83148</v>
      </c>
      <c r="C8" s="51">
        <f>IFERROR('Data Sheet'!C61,0)</f>
        <v>79349</v>
      </c>
      <c r="D8" s="51">
        <f>IFERROR('Data Sheet'!D61,0)</f>
        <v>84066</v>
      </c>
      <c r="E8" s="51">
        <f>IFERROR('Data Sheet'!E61,0)</f>
        <v>91800</v>
      </c>
      <c r="F8" s="51">
        <f>IFERROR('Data Sheet'!F61,0)</f>
        <v>107511</v>
      </c>
      <c r="G8" s="51">
        <f>IFERROR('Data Sheet'!G61,0)</f>
        <v>116729</v>
      </c>
      <c r="H8" s="51">
        <f>IFERROR('Data Sheet'!H61,0)</f>
        <v>124596</v>
      </c>
      <c r="I8" s="51">
        <f>IFERROR('Data Sheet'!I61,0)</f>
        <v>136020</v>
      </c>
      <c r="J8" s="51">
        <f>IFERROR('Data Sheet'!J61,0)</f>
        <v>147795</v>
      </c>
      <c r="K8" s="51">
        <f>IFERROR('Data Sheet'!K61,0)</f>
        <v>154288</v>
      </c>
      <c r="L8" s="66">
        <f>IFERROR(SUM(L4:L7),0)</f>
        <v>162088.79999999999</v>
      </c>
      <c r="M8" s="66">
        <f t="shared" ref="M8:P8" si="0">IFERROR(SUM(M4:M7),0)</f>
        <v>171099.45454545456</v>
      </c>
      <c r="N8" s="66">
        <f t="shared" si="0"/>
        <v>180110.10909090913</v>
      </c>
      <c r="O8" s="66">
        <f t="shared" si="0"/>
        <v>189120.76363636361</v>
      </c>
      <c r="P8" s="66">
        <f t="shared" si="0"/>
        <v>198131.41818181818</v>
      </c>
    </row>
    <row r="9" spans="1:16" s="2" customFormat="1" x14ac:dyDescent="0.3">
      <c r="B9" s="51"/>
      <c r="C9" s="51"/>
      <c r="D9" s="51"/>
      <c r="E9" s="51"/>
      <c r="F9" s="51"/>
      <c r="G9" s="51"/>
      <c r="H9" s="51"/>
      <c r="I9" s="51"/>
      <c r="J9" s="51"/>
      <c r="K9" s="51"/>
      <c r="L9" s="66"/>
      <c r="M9" s="66"/>
      <c r="N9" s="66"/>
      <c r="O9" s="66"/>
      <c r="P9" s="66"/>
    </row>
    <row r="10" spans="1:16" x14ac:dyDescent="0.3">
      <c r="A10" t="s">
        <v>76</v>
      </c>
      <c r="B10" s="10">
        <f>IFERROR('Data Sheet'!B62,0)</f>
        <v>14179</v>
      </c>
      <c r="C10" s="10">
        <f>IFERROR('Data Sheet'!C62,0)</f>
        <v>12574</v>
      </c>
      <c r="D10" s="10">
        <f>IFERROR('Data Sheet'!D62,0)</f>
        <v>15710</v>
      </c>
      <c r="E10" s="10">
        <f>IFERROR('Data Sheet'!E62,0)</f>
        <v>23789</v>
      </c>
      <c r="F10" s="10">
        <f>IFERROR('Data Sheet'!F62,0)</f>
        <v>25505</v>
      </c>
      <c r="G10" s="10">
        <f>IFERROR('Data Sheet'!G62,0)</f>
        <v>25800</v>
      </c>
      <c r="H10" s="10">
        <f>IFERROR('Data Sheet'!H62,0)</f>
        <v>29225</v>
      </c>
      <c r="I10" s="10">
        <f>IFERROR('Data Sheet'!I62,0)</f>
        <v>27622</v>
      </c>
      <c r="J10" s="10">
        <f>IFERROR('Data Sheet'!J62,0)</f>
        <v>30961</v>
      </c>
      <c r="K10" s="10">
        <f>IFERROR('Data Sheet'!K62,0)</f>
        <v>33770</v>
      </c>
      <c r="L10" s="65">
        <f>IFERROR(FORECASTING!D116,0)</f>
        <v>36619.866666666669</v>
      </c>
      <c r="M10" s="65">
        <f>IFERROR(FORECASTING!D117,0)</f>
        <v>38930.115151515151</v>
      </c>
      <c r="N10" s="65">
        <f>IFERROR(FORECASTING!D118,0)</f>
        <v>41240.363636363632</v>
      </c>
      <c r="O10" s="65">
        <f>IFERROR(FORECASTING!D119,0)</f>
        <v>43550.612121212122</v>
      </c>
      <c r="P10" s="65">
        <f>IFERROR(FORECASTING!D120,0)</f>
        <v>45860.860606060611</v>
      </c>
    </row>
    <row r="11" spans="1:16" x14ac:dyDescent="0.3">
      <c r="A11" t="s">
        <v>19</v>
      </c>
      <c r="B11" s="10">
        <f>IFERROR('Data Sheet'!B63,0)</f>
        <v>1365</v>
      </c>
      <c r="C11" s="10">
        <f>IFERROR('Data Sheet'!C63,0)</f>
        <v>1606</v>
      </c>
      <c r="D11" s="10">
        <f>IFERROR('Data Sheet'!D63,0)</f>
        <v>1388</v>
      </c>
      <c r="E11" s="10">
        <f>IFERROR('Data Sheet'!E63,0)</f>
        <v>954</v>
      </c>
      <c r="F11" s="10">
        <f>IFERROR('Data Sheet'!F63,0)</f>
        <v>922</v>
      </c>
      <c r="G11" s="10">
        <f>IFERROR('Data Sheet'!G63,0)</f>
        <v>416</v>
      </c>
      <c r="H11" s="10">
        <f>IFERROR('Data Sheet'!H63,0)</f>
        <v>288</v>
      </c>
      <c r="I11" s="10">
        <f>IFERROR('Data Sheet'!I63,0)</f>
        <v>293</v>
      </c>
      <c r="J11" s="10">
        <f>IFERROR('Data Sheet'!J63,0)</f>
        <v>814</v>
      </c>
      <c r="K11" s="10">
        <f>IFERROR('Data Sheet'!K63,0)</f>
        <v>526</v>
      </c>
      <c r="L11" s="65"/>
      <c r="M11" s="65"/>
      <c r="N11" s="65"/>
      <c r="O11" s="65"/>
      <c r="P11" s="65"/>
    </row>
    <row r="12" spans="1:16" x14ac:dyDescent="0.3">
      <c r="A12" t="s">
        <v>20</v>
      </c>
      <c r="B12" s="10">
        <f>IFERROR('Data Sheet'!B64,0)</f>
        <v>16423</v>
      </c>
      <c r="C12" s="10">
        <f>IFERROR('Data Sheet'!C64,0)</f>
        <v>12163</v>
      </c>
      <c r="D12" s="10">
        <f>IFERROR('Data Sheet'!D64,0)</f>
        <v>11261</v>
      </c>
      <c r="E12" s="10">
        <f>IFERROR('Data Sheet'!E64,0)</f>
        <v>8792</v>
      </c>
      <c r="F12" s="10">
        <f>IFERROR('Data Sheet'!F64,0)</f>
        <v>14205</v>
      </c>
      <c r="G12" s="10">
        <f>IFERROR('Data Sheet'!G64,0)</f>
        <v>20324</v>
      </c>
      <c r="H12" s="10">
        <f>IFERROR('Data Sheet'!H64,0)</f>
        <v>19478</v>
      </c>
      <c r="I12" s="10">
        <f>IFERROR('Data Sheet'!I64,0)</f>
        <v>24623</v>
      </c>
      <c r="J12" s="10">
        <f>IFERROR('Data Sheet'!J64,0)</f>
        <v>23541</v>
      </c>
      <c r="K12" s="10">
        <f>IFERROR('Data Sheet'!K64,0)</f>
        <v>21880</v>
      </c>
      <c r="L12" s="65">
        <f>IFERROR(FORECASTING!I116,0)</f>
        <v>25060.533333333333</v>
      </c>
      <c r="M12" s="65">
        <f>IFERROR(FORECASTING!I117,0)</f>
        <v>26477.175757575758</v>
      </c>
      <c r="N12" s="65">
        <f>IFERROR(FORECASTING!I118,0)</f>
        <v>27893.818181818184</v>
      </c>
      <c r="O12" s="65">
        <f>IFERROR(FORECASTING!I119,0)</f>
        <v>29310.460606060609</v>
      </c>
      <c r="P12" s="65">
        <f>IFERROR(FORECASTING!I120,0)</f>
        <v>30727.103030303031</v>
      </c>
    </row>
    <row r="13" spans="1:16" x14ac:dyDescent="0.3">
      <c r="A13" t="s">
        <v>44</v>
      </c>
      <c r="B13" s="10">
        <f>IFERROR('Data Sheet'!B65-SUM('Data Sheet'!B67:B69),0)</f>
        <v>16234</v>
      </c>
      <c r="C13" s="10">
        <f>IFERROR('Data Sheet'!C65-SUM('Data Sheet'!C67:C69),0)</f>
        <v>20046</v>
      </c>
      <c r="D13" s="10">
        <f>IFERROR('Data Sheet'!D65-SUM('Data Sheet'!D67:D69),0)</f>
        <v>21312</v>
      </c>
      <c r="E13" s="10">
        <f>IFERROR('Data Sheet'!E65-SUM('Data Sheet'!E67:E69),0)</f>
        <v>21129</v>
      </c>
      <c r="F13" s="10">
        <f>IFERROR('Data Sheet'!F65-SUM('Data Sheet'!F67:F69),0)</f>
        <v>22871</v>
      </c>
      <c r="G13" s="10">
        <f>IFERROR('Data Sheet'!G65-SUM('Data Sheet'!G67:G69),0)</f>
        <v>30019</v>
      </c>
      <c r="H13" s="10">
        <f>IFERROR('Data Sheet'!H65-SUM('Data Sheet'!H67:H69),0)</f>
        <v>38008</v>
      </c>
      <c r="I13" s="10">
        <f>IFERROR('Data Sheet'!I65-SUM('Data Sheet'!I67:I69),0)</f>
        <v>38503</v>
      </c>
      <c r="J13" s="10">
        <f>IFERROR('Data Sheet'!J65-SUM('Data Sheet'!J67:J69),0)</f>
        <v>36866</v>
      </c>
      <c r="K13" s="10">
        <f>IFERROR('Data Sheet'!K65-SUM('Data Sheet'!K67:K69),0)</f>
        <v>40677</v>
      </c>
      <c r="L13" s="65">
        <f>IFERROR(FORECASTING!N116,0)</f>
        <v>44615.4</v>
      </c>
      <c r="M13" s="65">
        <f>IFERROR(FORECASTING!N117,0)</f>
        <v>47533.381818181813</v>
      </c>
      <c r="N13" s="65">
        <f>IFERROR(FORECASTING!N118,0)</f>
        <v>50451.363636363632</v>
      </c>
      <c r="O13" s="65">
        <f>IFERROR(FORECASTING!N119,0)</f>
        <v>53369.345454545452</v>
      </c>
      <c r="P13" s="65">
        <f>IFERROR(FORECASTING!N120,0)</f>
        <v>56287.327272727271</v>
      </c>
    </row>
    <row r="14" spans="1:16" s="2" customFormat="1" x14ac:dyDescent="0.3">
      <c r="A14" s="2" t="s">
        <v>77</v>
      </c>
      <c r="B14" s="51">
        <f>IFERROR(SUM(B10:B13),0)</f>
        <v>48201</v>
      </c>
      <c r="C14" s="51">
        <f>IFERROR(SUM(C10:C13),0)</f>
        <v>46389</v>
      </c>
      <c r="D14" s="51">
        <f t="shared" ref="D14:K14" si="1">IFERROR(SUM(D10:D13),0)</f>
        <v>49671</v>
      </c>
      <c r="E14" s="51">
        <f t="shared" si="1"/>
        <v>54664</v>
      </c>
      <c r="F14" s="51">
        <f t="shared" si="1"/>
        <v>63503</v>
      </c>
      <c r="G14" s="51">
        <f t="shared" si="1"/>
        <v>76559</v>
      </c>
      <c r="H14" s="51">
        <f t="shared" si="1"/>
        <v>86999</v>
      </c>
      <c r="I14" s="51">
        <f t="shared" si="1"/>
        <v>91041</v>
      </c>
      <c r="J14" s="51">
        <f t="shared" si="1"/>
        <v>92182</v>
      </c>
      <c r="K14" s="51">
        <f t="shared" si="1"/>
        <v>96853</v>
      </c>
      <c r="L14" s="67">
        <f t="shared" ref="L14:P14" si="2">IFERROR(SUM(L10:L13),0)</f>
        <v>106295.8</v>
      </c>
      <c r="M14" s="67">
        <f t="shared" si="2"/>
        <v>112940.67272727273</v>
      </c>
      <c r="N14" s="67">
        <f t="shared" si="2"/>
        <v>119585.54545454546</v>
      </c>
      <c r="O14" s="67">
        <f t="shared" si="2"/>
        <v>126230.41818181818</v>
      </c>
      <c r="P14" s="67">
        <f t="shared" si="2"/>
        <v>132875.29090909089</v>
      </c>
    </row>
    <row r="15" spans="1:16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65"/>
      <c r="M15" s="65"/>
      <c r="N15" s="65"/>
      <c r="O15" s="65"/>
      <c r="P15" s="65"/>
    </row>
    <row r="16" spans="1:16" x14ac:dyDescent="0.3">
      <c r="A16" s="6" t="s">
        <v>49</v>
      </c>
      <c r="B16" s="50">
        <f>IFERROR('Data Sheet'!B67,0)</f>
        <v>12322</v>
      </c>
      <c r="C16" s="50">
        <f>IFERROR('Data Sheet'!C67,0)</f>
        <v>13142</v>
      </c>
      <c r="D16" s="50">
        <f>IFERROR('Data Sheet'!D67,0)</f>
        <v>14827</v>
      </c>
      <c r="E16" s="50">
        <f>IFERROR('Data Sheet'!E67,0)</f>
        <v>18487</v>
      </c>
      <c r="F16" s="50">
        <f>IFERROR('Data Sheet'!F67,0)</f>
        <v>19294</v>
      </c>
      <c r="G16" s="50">
        <f>IFERROR('Data Sheet'!G67,0)</f>
        <v>22698</v>
      </c>
      <c r="H16" s="50">
        <f>IFERROR('Data Sheet'!H67,0)</f>
        <v>25424</v>
      </c>
      <c r="I16" s="50">
        <f>IFERROR('Data Sheet'!I67,0)</f>
        <v>30193</v>
      </c>
      <c r="J16" s="50">
        <f>IFERROR('Data Sheet'!J67,0)</f>
        <v>31158</v>
      </c>
      <c r="K16" s="50">
        <f>IFERROR('Data Sheet'!K67,0)</f>
        <v>35234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</row>
    <row r="17" spans="1:16" x14ac:dyDescent="0.3">
      <c r="A17" s="6" t="s">
        <v>34</v>
      </c>
      <c r="B17" s="50">
        <f>IFERROR('Data Sheet'!B68,0)</f>
        <v>0</v>
      </c>
      <c r="C17" s="50">
        <f>IFERROR('Data Sheet'!C68,0)</f>
        <v>0</v>
      </c>
      <c r="D17" s="50">
        <f>IFERROR('Data Sheet'!D68,0)</f>
        <v>0</v>
      </c>
      <c r="E17" s="50">
        <f>IFERROR('Data Sheet'!E68,0)</f>
        <v>0</v>
      </c>
      <c r="F17" s="50">
        <f>IFERROR('Data Sheet'!F68,0)</f>
        <v>0</v>
      </c>
      <c r="G17" s="50">
        <f>IFERROR('Data Sheet'!G68,0)</f>
        <v>0</v>
      </c>
      <c r="H17" s="50">
        <f>IFERROR('Data Sheet'!H68,0)</f>
        <v>0</v>
      </c>
      <c r="I17" s="50">
        <f>IFERROR('Data Sheet'!I68,0)</f>
        <v>0</v>
      </c>
      <c r="J17" s="50">
        <f>IFERROR('Data Sheet'!J68,0)</f>
        <v>0</v>
      </c>
      <c r="K17" s="50">
        <f>IFERROR('Data Sheet'!K68,0)</f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</row>
    <row r="18" spans="1:16" x14ac:dyDescent="0.3">
      <c r="A18" s="4" t="s">
        <v>58</v>
      </c>
      <c r="B18" s="50">
        <f>IFERROR('Data Sheet'!B69,0)</f>
        <v>22625</v>
      </c>
      <c r="C18" s="50">
        <f>IFERROR('Data Sheet'!C69,0)</f>
        <v>19818</v>
      </c>
      <c r="D18" s="50">
        <f>IFERROR('Data Sheet'!D69,0)</f>
        <v>19568</v>
      </c>
      <c r="E18" s="50">
        <f>IFERROR('Data Sheet'!E69,0)</f>
        <v>18649</v>
      </c>
      <c r="F18" s="50">
        <f>IFERROR('Data Sheet'!F69,0)</f>
        <v>24714</v>
      </c>
      <c r="G18" s="50">
        <f>IFERROR('Data Sheet'!G69,0)</f>
        <v>17472</v>
      </c>
      <c r="H18" s="50">
        <f>IFERROR('Data Sheet'!H69,0)</f>
        <v>12173</v>
      </c>
      <c r="I18" s="50">
        <f>IFERROR('Data Sheet'!I69,0)</f>
        <v>14786</v>
      </c>
      <c r="J18" s="50">
        <f>IFERROR('Data Sheet'!J69,0)</f>
        <v>24455</v>
      </c>
      <c r="K18" s="50">
        <f>IFERROR('Data Sheet'!K69,0)</f>
        <v>22201</v>
      </c>
      <c r="L18" s="65">
        <f>IFERROR(FORECASTING!D136,0)</f>
        <v>18914.866666666665</v>
      </c>
      <c r="M18" s="65">
        <f>IFERROR(FORECASTING!D137,0)</f>
        <v>18781.91515151515</v>
      </c>
      <c r="N18" s="65">
        <f>IFERROR(FORECASTING!D138,0)</f>
        <v>18648.963636363635</v>
      </c>
      <c r="O18" s="65">
        <f>IFERROR(FORECASTING!D139,0)</f>
        <v>18516.012121212119</v>
      </c>
      <c r="P18" s="65">
        <f>IFERROR(FORECASTING!D140,0)</f>
        <v>18383.060606060604</v>
      </c>
    </row>
    <row r="19" spans="1:16" x14ac:dyDescent="0.3">
      <c r="A19" s="2" t="s">
        <v>78</v>
      </c>
      <c r="B19" s="50">
        <f t="shared" ref="B19:I19" si="3">IFERROR(SUM(B16:B18),0)</f>
        <v>34947</v>
      </c>
      <c r="C19" s="50">
        <f t="shared" si="3"/>
        <v>32960</v>
      </c>
      <c r="D19" s="50">
        <f t="shared" si="3"/>
        <v>34395</v>
      </c>
      <c r="E19" s="50">
        <f t="shared" si="3"/>
        <v>37136</v>
      </c>
      <c r="F19" s="50">
        <f t="shared" si="3"/>
        <v>44008</v>
      </c>
      <c r="G19" s="50">
        <f t="shared" si="3"/>
        <v>40170</v>
      </c>
      <c r="H19" s="50">
        <f t="shared" si="3"/>
        <v>37597</v>
      </c>
      <c r="I19" s="50">
        <f t="shared" si="3"/>
        <v>44979</v>
      </c>
      <c r="J19" s="50">
        <f>IFERROR(SUM(J16:J18),0)</f>
        <v>55613</v>
      </c>
      <c r="K19" s="50">
        <f t="shared" ref="K19:P19" si="4">IFERROR(SUM(K16:K18),0)</f>
        <v>57435</v>
      </c>
      <c r="L19" s="65">
        <f t="shared" si="4"/>
        <v>18914.866666666665</v>
      </c>
      <c r="M19" s="65">
        <f t="shared" si="4"/>
        <v>18781.91515151515</v>
      </c>
      <c r="N19" s="65">
        <f t="shared" si="4"/>
        <v>18648.963636363635</v>
      </c>
      <c r="O19" s="65">
        <f t="shared" si="4"/>
        <v>18516.012121212119</v>
      </c>
      <c r="P19" s="65">
        <f t="shared" si="4"/>
        <v>18383.060606060604</v>
      </c>
    </row>
    <row r="20" spans="1:16" x14ac:dyDescent="0.3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65"/>
      <c r="M20" s="65"/>
      <c r="N20" s="65"/>
      <c r="O20" s="65"/>
      <c r="P20" s="65"/>
    </row>
    <row r="21" spans="1:16" x14ac:dyDescent="0.3"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65"/>
      <c r="M21" s="65"/>
      <c r="N21" s="65"/>
      <c r="O21" s="65"/>
      <c r="P21" s="65"/>
    </row>
    <row r="22" spans="1:16" x14ac:dyDescent="0.3">
      <c r="A22" s="2" t="s">
        <v>79</v>
      </c>
      <c r="B22" s="50">
        <f t="shared" ref="B22:J22" si="5">IFERROR(B14+B19,0)</f>
        <v>83148</v>
      </c>
      <c r="C22" s="50">
        <f t="shared" si="5"/>
        <v>79349</v>
      </c>
      <c r="D22" s="50">
        <f t="shared" si="5"/>
        <v>84066</v>
      </c>
      <c r="E22" s="50">
        <f t="shared" si="5"/>
        <v>91800</v>
      </c>
      <c r="F22" s="50">
        <f t="shared" si="5"/>
        <v>107511</v>
      </c>
      <c r="G22" s="50">
        <f t="shared" si="5"/>
        <v>116729</v>
      </c>
      <c r="H22" s="50">
        <f t="shared" si="5"/>
        <v>124596</v>
      </c>
      <c r="I22" s="50">
        <f t="shared" si="5"/>
        <v>136020</v>
      </c>
      <c r="J22" s="50">
        <f t="shared" si="5"/>
        <v>147795</v>
      </c>
      <c r="K22" s="50">
        <f t="shared" ref="K22:P22" si="6">IFERROR(K14+K19,0)</f>
        <v>154288</v>
      </c>
      <c r="L22" s="65">
        <f t="shared" si="6"/>
        <v>125210.66666666667</v>
      </c>
      <c r="M22" s="65">
        <f t="shared" si="6"/>
        <v>131722.58787878789</v>
      </c>
      <c r="N22" s="65">
        <f t="shared" si="6"/>
        <v>138234.50909090909</v>
      </c>
      <c r="O22" s="65">
        <f t="shared" si="6"/>
        <v>144746.4303030303</v>
      </c>
      <c r="P22" s="65">
        <f t="shared" si="6"/>
        <v>151258.3515151515</v>
      </c>
    </row>
    <row r="23" spans="1:16" s="2" customFormat="1" x14ac:dyDescent="0.3">
      <c r="L23" s="59"/>
      <c r="M23" s="59"/>
      <c r="N23" s="59"/>
      <c r="O23" s="59"/>
      <c r="P23" s="59"/>
    </row>
    <row r="24" spans="1:16" s="2" customFormat="1" x14ac:dyDescent="0.3">
      <c r="A24" s="2" t="s">
        <v>80</v>
      </c>
      <c r="B24" s="2" t="b">
        <f>B22=B8</f>
        <v>1</v>
      </c>
      <c r="C24" s="2" t="b">
        <f t="shared" ref="C24:P24" si="7">C22=C8</f>
        <v>1</v>
      </c>
      <c r="D24" s="2" t="b">
        <f t="shared" si="7"/>
        <v>1</v>
      </c>
      <c r="E24" s="2" t="b">
        <f t="shared" si="7"/>
        <v>1</v>
      </c>
      <c r="F24" s="2" t="b">
        <f t="shared" si="7"/>
        <v>1</v>
      </c>
      <c r="G24" s="2" t="b">
        <f t="shared" si="7"/>
        <v>1</v>
      </c>
      <c r="H24" s="2" t="b">
        <f t="shared" si="7"/>
        <v>1</v>
      </c>
      <c r="I24" s="2" t="b">
        <f t="shared" si="7"/>
        <v>1</v>
      </c>
      <c r="J24" s="2" t="b">
        <f t="shared" si="7"/>
        <v>1</v>
      </c>
      <c r="K24" s="2" t="b">
        <f t="shared" si="7"/>
        <v>1</v>
      </c>
      <c r="L24" s="59" t="b">
        <f t="shared" si="7"/>
        <v>0</v>
      </c>
      <c r="M24" s="59" t="b">
        <f t="shared" si="7"/>
        <v>0</v>
      </c>
      <c r="N24" s="59" t="b">
        <f t="shared" si="7"/>
        <v>0</v>
      </c>
      <c r="O24" s="59" t="b">
        <f t="shared" si="7"/>
        <v>0</v>
      </c>
      <c r="P24" s="59" t="b">
        <f t="shared" si="7"/>
        <v>0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92D050"/>
    <pageSetUpPr fitToPage="1"/>
  </sheetPr>
  <dimension ref="A1:P28"/>
  <sheetViews>
    <sheetView zoomScale="150" zoomScaleNormal="150" zoomScalePageLayoutView="150" workbookViewId="0">
      <pane xSplit="1" ySplit="3" topLeftCell="K4" activePane="bottomRight" state="frozen"/>
      <selection pane="topRight" activeCell="B1" sqref="B1"/>
      <selection pane="bottomLeft" activeCell="A4" sqref="A4"/>
      <selection pane="bottomRight" activeCell="L4" sqref="L4:P13"/>
    </sheetView>
  </sheetViews>
  <sheetFormatPr defaultColWidth="8.77734375" defaultRowHeight="14.4" x14ac:dyDescent="0.3"/>
  <cols>
    <col min="1" max="1" width="43.77734375" customWidth="1"/>
    <col min="2" max="6" width="13.44140625" customWidth="1"/>
    <col min="7" max="11" width="13.44140625" bestFit="1" customWidth="1"/>
  </cols>
  <sheetData>
    <row r="1" spans="1:16" s="2" customFormat="1" x14ac:dyDescent="0.3">
      <c r="A1" s="2" t="str">
        <f>'Balance Sheet'!A1</f>
        <v>INFOSYS LTD</v>
      </c>
      <c r="E1" t="str">
        <f>UPDATE</f>
        <v/>
      </c>
      <c r="F1"/>
      <c r="J1" s="2" t="s">
        <v>1</v>
      </c>
    </row>
    <row r="3" spans="1:16" s="2" customFormat="1" x14ac:dyDescent="0.3">
      <c r="A3" s="7" t="s">
        <v>2</v>
      </c>
      <c r="B3" s="8">
        <f>'Data Sheet'!B81</f>
        <v>42825</v>
      </c>
      <c r="C3" s="8">
        <f>'Data Sheet'!C81</f>
        <v>43190</v>
      </c>
      <c r="D3" s="8">
        <f>'Data Sheet'!D81</f>
        <v>43555</v>
      </c>
      <c r="E3" s="8">
        <f>'Data Sheet'!E81</f>
        <v>43921</v>
      </c>
      <c r="F3" s="8">
        <f>'Data Sheet'!F81</f>
        <v>44286</v>
      </c>
      <c r="G3" s="8">
        <f>'Data Sheet'!G81</f>
        <v>44651</v>
      </c>
      <c r="H3" s="8">
        <f>'Data Sheet'!H81</f>
        <v>45016</v>
      </c>
      <c r="I3" s="8">
        <f>'Data Sheet'!I81</f>
        <v>45382</v>
      </c>
      <c r="J3" s="8">
        <f>'Data Sheet'!J81</f>
        <v>45747</v>
      </c>
      <c r="K3" s="8">
        <f>'Data Sheet'!K81</f>
        <v>46112</v>
      </c>
      <c r="L3" s="53">
        <v>46473</v>
      </c>
      <c r="M3" s="53">
        <v>46840</v>
      </c>
      <c r="N3" s="53">
        <v>47206</v>
      </c>
      <c r="O3" s="53">
        <v>47572</v>
      </c>
      <c r="P3" s="53">
        <v>47938</v>
      </c>
    </row>
    <row r="4" spans="1:16" s="2" customFormat="1" ht="15" thickBot="1" x14ac:dyDescent="0.35">
      <c r="A4" s="18"/>
      <c r="B4" s="19"/>
      <c r="C4" s="19"/>
      <c r="L4" s="59"/>
      <c r="M4" s="59"/>
      <c r="N4" s="59"/>
      <c r="O4" s="59"/>
      <c r="P4" s="59"/>
    </row>
    <row r="5" spans="1:16" x14ac:dyDescent="0.3">
      <c r="A5" s="21" t="s">
        <v>81</v>
      </c>
      <c r="B5" s="20">
        <f>IFERROR('Data Sheet'!B82,0)</f>
        <v>11531</v>
      </c>
      <c r="C5" s="20">
        <f>IFERROR('Data Sheet'!C82,0)</f>
        <v>13218</v>
      </c>
      <c r="D5" s="20">
        <f>IFERROR('Data Sheet'!D82,0)</f>
        <v>14841</v>
      </c>
      <c r="E5" s="20">
        <f>IFERROR('Data Sheet'!E82,0)</f>
        <v>17003</v>
      </c>
      <c r="F5" s="20">
        <f>IFERROR('Data Sheet'!F82,0)</f>
        <v>23224</v>
      </c>
      <c r="G5" s="20">
        <f>IFERROR('Data Sheet'!G82,0)</f>
        <v>23885</v>
      </c>
      <c r="H5" s="20">
        <f>IFERROR('Data Sheet'!H82,0)</f>
        <v>22467</v>
      </c>
      <c r="I5" s="20">
        <f>IFERROR('Data Sheet'!I82,0)</f>
        <v>25210</v>
      </c>
      <c r="J5" s="20">
        <f>IFERROR('Data Sheet'!J82,0)</f>
        <v>35694</v>
      </c>
      <c r="K5" s="20">
        <f>IFERROR('Data Sheet'!K82,0)</f>
        <v>33986</v>
      </c>
      <c r="L5" s="68">
        <f>IFERROR(FORECASTING!I136,0)</f>
        <v>36383.4</v>
      </c>
      <c r="M5" s="68">
        <f>IFERROR(FORECASTING!I137,0)</f>
        <v>38979.309090909097</v>
      </c>
      <c r="N5" s="68">
        <f>IFERROR(FORECASTING!I138,0)</f>
        <v>41575.218181818185</v>
      </c>
      <c r="O5" s="68">
        <f>IFERROR(FORECASTING!I139,0)</f>
        <v>44171.127272727274</v>
      </c>
      <c r="P5" s="68">
        <f>IFERROR(FORECASTING!I140,0)</f>
        <v>46767.036363636369</v>
      </c>
    </row>
    <row r="6" spans="1:16" x14ac:dyDescent="0.3">
      <c r="L6" s="55"/>
      <c r="M6" s="55"/>
      <c r="N6" s="55"/>
      <c r="O6" s="55"/>
      <c r="P6" s="55"/>
    </row>
    <row r="7" spans="1:16" s="2" customFormat="1" x14ac:dyDescent="0.3">
      <c r="A7" s="2" t="s">
        <v>82</v>
      </c>
      <c r="B7" s="20">
        <f>IFERROR('Data Sheet'!B83,0)</f>
        <v>-14664</v>
      </c>
      <c r="C7" s="20">
        <f>IFERROR('Data Sheet'!C83,0)</f>
        <v>4533</v>
      </c>
      <c r="D7" s="20">
        <f>IFERROR('Data Sheet'!D83,0)</f>
        <v>-632</v>
      </c>
      <c r="E7" s="20">
        <f>IFERROR('Data Sheet'!E83,0)</f>
        <v>-331</v>
      </c>
      <c r="F7" s="20">
        <f>IFERROR('Data Sheet'!F83,0)</f>
        <v>-7373</v>
      </c>
      <c r="G7" s="20">
        <f>IFERROR('Data Sheet'!G83,0)</f>
        <v>-6485</v>
      </c>
      <c r="H7" s="20">
        <f>IFERROR('Data Sheet'!H83,0)</f>
        <v>-1071</v>
      </c>
      <c r="I7" s="20">
        <f>IFERROR('Data Sheet'!I83,0)</f>
        <v>-5093</v>
      </c>
      <c r="J7" s="20">
        <f>IFERROR('Data Sheet'!J83,0)</f>
        <v>-1864</v>
      </c>
      <c r="K7" s="20">
        <f>IFERROR('Data Sheet'!K83,0)</f>
        <v>3546</v>
      </c>
      <c r="L7" s="55">
        <f t="array" ref="L7:P7">TRANSPOSE(FORECASTING!N136:N140)</f>
        <v>239.06666666666661</v>
      </c>
      <c r="M7" s="55">
        <v>817.69696969696997</v>
      </c>
      <c r="N7" s="55">
        <v>1396.3272727272724</v>
      </c>
      <c r="O7" s="55">
        <v>1974.9575757575758</v>
      </c>
      <c r="P7" s="55">
        <v>2553.5878787878792</v>
      </c>
    </row>
    <row r="8" spans="1:16" x14ac:dyDescent="0.3">
      <c r="L8" s="55"/>
      <c r="M8" s="55"/>
      <c r="N8" s="55"/>
      <c r="O8" s="55"/>
      <c r="P8" s="55"/>
    </row>
    <row r="9" spans="1:16" x14ac:dyDescent="0.3">
      <c r="A9" s="21" t="s">
        <v>83</v>
      </c>
      <c r="B9" s="20">
        <f>IFERROR('Data Sheet'!B84,0)</f>
        <v>-6939</v>
      </c>
      <c r="C9" s="20">
        <f>IFERROR('Data Sheet'!C84,0)</f>
        <v>-20505</v>
      </c>
      <c r="D9" s="20">
        <f>IFERROR('Data Sheet'!D84,0)</f>
        <v>-14512</v>
      </c>
      <c r="E9" s="20">
        <f>IFERROR('Data Sheet'!E84,0)</f>
        <v>-17591</v>
      </c>
      <c r="F9" s="20">
        <f>IFERROR('Data Sheet'!F84,0)</f>
        <v>-9786</v>
      </c>
      <c r="G9" s="20">
        <f>IFERROR('Data Sheet'!G84,0)</f>
        <v>-24642</v>
      </c>
      <c r="H9" s="20">
        <f>IFERROR('Data Sheet'!H84,0)</f>
        <v>-26695</v>
      </c>
      <c r="I9" s="20">
        <f>IFERROR('Data Sheet'!I84,0)</f>
        <v>-17504</v>
      </c>
      <c r="J9" s="20">
        <f>IFERROR('Data Sheet'!J84,0)</f>
        <v>-24161</v>
      </c>
      <c r="K9" s="20">
        <f>IFERROR('Data Sheet'!K84,0)</f>
        <v>-39786</v>
      </c>
      <c r="L9" s="55" cm="1">
        <f t="array" ref="L9:P9">TRANSPOSE(FORECASTING!D156:D160)</f>
        <v>-32823.533333333333</v>
      </c>
      <c r="M9" s="55">
        <v>-35116.52121212121</v>
      </c>
      <c r="N9" s="55">
        <v>-37409.509090909087</v>
      </c>
      <c r="O9" s="55">
        <v>-39702.496969696964</v>
      </c>
      <c r="P9" s="55">
        <v>-41995.484848484848</v>
      </c>
    </row>
    <row r="10" spans="1:16" x14ac:dyDescent="0.3">
      <c r="L10" s="55"/>
      <c r="M10" s="55"/>
      <c r="N10" s="55"/>
      <c r="O10" s="55"/>
      <c r="P10" s="55"/>
    </row>
    <row r="11" spans="1:16" x14ac:dyDescent="0.3">
      <c r="L11" s="55"/>
      <c r="M11" s="55"/>
      <c r="N11" s="55"/>
      <c r="O11" s="55"/>
      <c r="P11" s="55"/>
    </row>
    <row r="12" spans="1:16" x14ac:dyDescent="0.3">
      <c r="L12" s="55"/>
      <c r="M12" s="55"/>
      <c r="N12" s="55"/>
      <c r="O12" s="55"/>
      <c r="P12" s="55"/>
    </row>
    <row r="13" spans="1:16" x14ac:dyDescent="0.3">
      <c r="A13" s="2" t="s">
        <v>84</v>
      </c>
      <c r="B13" s="52">
        <f>IFERROR(SUM(B5:B9),0)</f>
        <v>-10072</v>
      </c>
      <c r="C13" s="52">
        <f t="shared" ref="C13:P13" si="0">IFERROR(SUM(C5:C9),0)</f>
        <v>-2754</v>
      </c>
      <c r="D13" s="52">
        <f t="shared" si="0"/>
        <v>-303</v>
      </c>
      <c r="E13" s="52">
        <f t="shared" si="0"/>
        <v>-919</v>
      </c>
      <c r="F13" s="52">
        <f t="shared" si="0"/>
        <v>6065</v>
      </c>
      <c r="G13" s="52">
        <f t="shared" si="0"/>
        <v>-7242</v>
      </c>
      <c r="H13" s="52">
        <f t="shared" si="0"/>
        <v>-5299</v>
      </c>
      <c r="I13" s="52">
        <f t="shared" si="0"/>
        <v>2613</v>
      </c>
      <c r="J13" s="52">
        <f t="shared" si="0"/>
        <v>9669</v>
      </c>
      <c r="K13" s="52">
        <f t="shared" si="0"/>
        <v>-2254</v>
      </c>
      <c r="L13" s="69">
        <f t="shared" si="0"/>
        <v>3798.9333333333343</v>
      </c>
      <c r="M13" s="69">
        <f t="shared" si="0"/>
        <v>4680.4848484848553</v>
      </c>
      <c r="N13" s="69">
        <f t="shared" si="0"/>
        <v>5562.0363636363691</v>
      </c>
      <c r="O13" s="69">
        <f t="shared" si="0"/>
        <v>6443.5878787878828</v>
      </c>
      <c r="P13" s="69">
        <f t="shared" si="0"/>
        <v>7325.1393939394038</v>
      </c>
    </row>
    <row r="18" spans="1:11" x14ac:dyDescent="0.3">
      <c r="A18" s="20"/>
      <c r="B18" s="20"/>
      <c r="C18" s="20"/>
      <c r="D18" s="20"/>
    </row>
    <row r="28" spans="1:11" x14ac:dyDescent="0.3">
      <c r="H28" s="20">
        <f>IFERROR(SUM(#REF!),0)</f>
        <v>0</v>
      </c>
      <c r="I28" s="20">
        <f>IFERROR(SUM(#REF!),0)</f>
        <v>0</v>
      </c>
      <c r="J28" s="20">
        <f>IFERROR(SUM(#REF!),0)</f>
        <v>0</v>
      </c>
      <c r="K28" s="20">
        <f>IFERROR(SUM(#REF!),0)</f>
        <v>0</v>
      </c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B345C-BECA-420B-BE25-F807E195CB5E}">
  <sheetPr>
    <tabColor rgb="FF92D050"/>
  </sheetPr>
  <dimension ref="B1:V47"/>
  <sheetViews>
    <sheetView showGridLines="0" workbookViewId="0">
      <selection activeCell="Q4" sqref="Q4"/>
    </sheetView>
  </sheetViews>
  <sheetFormatPr defaultRowHeight="15.6" x14ac:dyDescent="0.3"/>
  <cols>
    <col min="1" max="1" width="1.44140625" customWidth="1"/>
    <col min="2" max="2" width="35.44140625" style="36" customWidth="1"/>
    <col min="3" max="3" width="8.88671875" style="22"/>
    <col min="13" max="13" width="10.6640625" style="22" customWidth="1"/>
    <col min="14" max="14" width="11.6640625" style="22" customWidth="1"/>
    <col min="15" max="15" width="14.109375" style="22" customWidth="1"/>
    <col min="20" max="20" width="20.21875" customWidth="1"/>
  </cols>
  <sheetData>
    <row r="1" spans="2:22" ht="33" customHeight="1" x14ac:dyDescent="0.6">
      <c r="G1" s="37" t="s">
        <v>85</v>
      </c>
      <c r="T1" s="79" t="s">
        <v>163</v>
      </c>
      <c r="U1" s="79"/>
      <c r="V1" s="79"/>
    </row>
    <row r="3" spans="2:22" x14ac:dyDescent="0.3">
      <c r="C3" s="8">
        <v>42825</v>
      </c>
      <c r="D3" s="8">
        <v>43190</v>
      </c>
      <c r="E3" s="8">
        <v>43555</v>
      </c>
      <c r="F3" s="8">
        <v>43921</v>
      </c>
      <c r="G3" s="8">
        <v>44286</v>
      </c>
      <c r="H3" s="8">
        <v>44651</v>
      </c>
      <c r="I3" s="8">
        <v>45016</v>
      </c>
      <c r="J3" s="8">
        <v>45382</v>
      </c>
      <c r="K3" s="8">
        <v>45747</v>
      </c>
      <c r="L3" s="8">
        <v>46112</v>
      </c>
      <c r="M3" s="53">
        <v>46473</v>
      </c>
      <c r="N3" s="53">
        <v>46840</v>
      </c>
      <c r="O3" s="53">
        <v>47206</v>
      </c>
      <c r="P3" s="53">
        <v>47572</v>
      </c>
      <c r="Q3" s="53">
        <v>47938</v>
      </c>
      <c r="T3" s="8" t="s">
        <v>117</v>
      </c>
      <c r="U3" s="8" t="s">
        <v>115</v>
      </c>
      <c r="V3" s="8" t="s">
        <v>116</v>
      </c>
    </row>
    <row r="4" spans="2:22" x14ac:dyDescent="0.3">
      <c r="B4" s="38" t="s">
        <v>86</v>
      </c>
      <c r="C4" s="25" t="s">
        <v>113</v>
      </c>
      <c r="D4" s="26">
        <f>IFERROR(Annual[[#This Row],[Column3]]/Annual[[#This Row],[Column2]]-1,0)</f>
        <v>2.9758775772443125E-2</v>
      </c>
      <c r="E4" s="26">
        <f>IFERROR(Annual[[#This Row],[Column4]]/Annual[[#This Row],[Column3]]-1,0)</f>
        <v>0.17232920223476356</v>
      </c>
      <c r="F4" s="26">
        <f>IFERROR(Annual[[#This Row],[Column5]]/Annual[[#This Row],[Column4]]-1,0)</f>
        <v>9.8167523435137571E-2</v>
      </c>
      <c r="G4" s="26">
        <f>IFERROR(Annual[[#This Row],[Column6]]/Annual[[#This Row],[Column5]]-1,0)</f>
        <v>0.10662951173574475</v>
      </c>
      <c r="H4" s="26">
        <f>IFERROR(Annual[[#This Row],[Column7]]/Annual[[#This Row],[Column6]]-1,0)</f>
        <v>0.21069551715900947</v>
      </c>
      <c r="I4" s="26">
        <f>IFERROR(Annual[[#This Row],[Column8]]/Annual[[#This Row],[Column7]]-1,0)</f>
        <v>0.20655864387829759</v>
      </c>
      <c r="J4" s="26">
        <f>IFERROR(Annual[[#This Row],[Column9]]/Annual[[#This Row],[Column8]]-1,0)</f>
        <v>4.7033733741236095E-2</v>
      </c>
      <c r="K4" s="26">
        <f>IFERROR(Annual[[#This Row],[Column10]]/Annual[[#This Row],[Column9]]-1,0)</f>
        <v>6.0649443612936782E-2</v>
      </c>
      <c r="L4" s="26">
        <f>IFERROR(Annual[[#This Row],[Column11]]/Annual[[#This Row],[Column10]]-1,0)</f>
        <v>9.6079514080618544E-2</v>
      </c>
      <c r="M4" s="70">
        <f>IFERROR(Annual[[#This Row],[Column12]]/Annual[[#This Row],[Column11]]-1,0)</f>
        <v>6.592555275678702E-2</v>
      </c>
      <c r="N4" s="70">
        <f>IFERROR(Annual[[#This Row],[Column13]]/Annual[[#This Row],[Column12]]-1,0)</f>
        <v>6.947178588894376E-2</v>
      </c>
      <c r="O4" s="70">
        <f>IFERROR(Annual[[#This Row],[Column14]]/Annual[[#This Row],[Column13]]-1,0)</f>
        <v>6.4958970218367273E-2</v>
      </c>
      <c r="P4" s="70">
        <f>IFERROR(Annual[[#This Row],[Column15]]/Annual[[#This Row],[Column14]]-1,0)</f>
        <v>6.099668816822823E-2</v>
      </c>
      <c r="Q4" s="70">
        <f>IFERROR(Annual[[#This Row],[Column16]]/Annual[[#This Row],[Column15]]-1,0)</f>
        <v>5.748998922280979E-2</v>
      </c>
      <c r="T4" s="24"/>
      <c r="U4" s="25">
        <f>IFERROR(AVERAGE(D4:L4),0)</f>
        <v>0.11421131840557638</v>
      </c>
      <c r="V4" s="25">
        <f>IFERROR(MEDIAN(C4:L4),0)</f>
        <v>9.8167523435137571E-2</v>
      </c>
    </row>
    <row r="5" spans="2:22" x14ac:dyDescent="0.3">
      <c r="B5" s="36" t="s">
        <v>87</v>
      </c>
      <c r="C5" s="23" t="s">
        <v>113</v>
      </c>
      <c r="D5" s="5">
        <f>IFERROR('Profit &amp; Loss'!C14/'Profit &amp; Loss'!B14-1,0)</f>
        <v>2.2120624365013386E-2</v>
      </c>
      <c r="E5" s="5">
        <f>IFERROR('Profit &amp; Loss'!D14/'Profit &amp; Loss'!C14-1,0)</f>
        <v>4.1521709664302131E-2</v>
      </c>
      <c r="F5" s="5">
        <f>IFERROR('Profit &amp; Loss'!E14/'Profit &amp; Loss'!D14-1,0)</f>
        <v>8.7541211174735345E-2</v>
      </c>
      <c r="G5" s="5">
        <f>IFERROR('Profit &amp; Loss'!F14/'Profit &amp; Loss'!E14-1,0)</f>
        <v>0.20023932987634629</v>
      </c>
      <c r="H5" s="5">
        <f>IFERROR('Profit &amp; Loss'!G14/'Profit &amp; Loss'!F14-1,0)</f>
        <v>0.12283150548354937</v>
      </c>
      <c r="I5" s="5">
        <f>IFERROR('Profit &amp; Loss'!H14/'Profit &amp; Loss'!G14-1,0)</f>
        <v>0.11972414609601612</v>
      </c>
      <c r="J5" s="5">
        <f>IFERROR('Profit &amp; Loss'!I14/'Profit &amp; Loss'!H14-1,0)</f>
        <v>8.7362216171922524E-2</v>
      </c>
      <c r="K5" s="5">
        <f>IFERROR('Profit &amp; Loss'!J14/'Profit &amp; Loss'!I14-1,0)</f>
        <v>4.132633216647208E-2</v>
      </c>
      <c r="L5" s="5">
        <f>IFERROR('Profit &amp; Loss'!K14/'Profit &amp; Loss'!J14-1,0)</f>
        <v>5.7825193762256033E-2</v>
      </c>
      <c r="M5" s="48">
        <f>IFERROR('Profit &amp; Loss'!L14/'Profit &amp; Loss'!K14-1,0)</f>
        <v>7.3241674574625826E-2</v>
      </c>
      <c r="N5" s="48">
        <f>IFERROR('Profit &amp; Loss'!M14/'Profit &amp; Loss'!L14-1,0)</f>
        <v>6.1096200054658434E-2</v>
      </c>
      <c r="O5" s="48">
        <f>IFERROR('Profit &amp; Loss'!N14/'Profit &amp; Loss'!M14-1,0)</f>
        <v>5.7578379841066063E-2</v>
      </c>
      <c r="P5" s="48">
        <f>IFERROR('Profit &amp; Loss'!O14/'Profit &amp; Loss'!N14-1,0)</f>
        <v>5.4443605257626704E-2</v>
      </c>
      <c r="Q5" s="48">
        <f>IFERROR('Profit &amp; Loss'!P14/'Profit &amp; Loss'!O14-1,0)</f>
        <v>5.1632543443917323E-2</v>
      </c>
      <c r="T5" s="22"/>
      <c r="U5" s="23">
        <f>IFERROR(AVERAGE(D5:L5),0)</f>
        <v>8.6721363195623694E-2</v>
      </c>
      <c r="V5" s="23">
        <f>IFERROR(MEDIAN(C5:L5),0)</f>
        <v>8.7362216171922524E-2</v>
      </c>
    </row>
    <row r="6" spans="2:22" x14ac:dyDescent="0.3">
      <c r="B6" s="36" t="s">
        <v>114</v>
      </c>
      <c r="C6" s="23" t="s">
        <v>113</v>
      </c>
      <c r="D6" s="5">
        <f>IFERROR('Profit &amp; Loss'!C18/'Profit &amp; Loss'!B18-1,0)</f>
        <v>1.5989173475013718E-2</v>
      </c>
      <c r="E6" s="5">
        <f>IFERROR('Profit &amp; Loss'!D18/'Profit &amp; Loss'!C18-1,0)</f>
        <v>3.8036507153428767E-2</v>
      </c>
      <c r="F6" s="5">
        <f>IFERROR('Profit &amp; Loss'!E18/'Profit &amp; Loss'!D18-1,0)</f>
        <v>4.5910365476925952E-2</v>
      </c>
      <c r="G6" s="5">
        <f>IFERROR('Profit &amp; Loss'!F18/'Profit &amp; Loss'!E18-1,0)</f>
        <v>0.20997864315899495</v>
      </c>
      <c r="H6" s="5">
        <f>IFERROR('Profit &amp; Loss'!G18/'Profit &amp; Loss'!F18-1,0)</f>
        <v>0.13076460868258977</v>
      </c>
      <c r="I6" s="5">
        <f>IFERROR('Profit &amp; Loss'!H18/'Profit &amp; Loss'!G18-1,0)</f>
        <v>0.10667552308203265</v>
      </c>
      <c r="J6" s="5">
        <f>IFERROR('Profit &amp; Loss'!I18/'Profit &amp; Loss'!H18-1,0)</f>
        <v>8.0007202448832526E-2</v>
      </c>
      <c r="K6" s="5">
        <f>IFERROR('Profit &amp; Loss'!J18/'Profit &amp; Loss'!I18-1,0)</f>
        <v>4.501500500166733E-2</v>
      </c>
      <c r="L6" s="5">
        <f>IFERROR('Profit &amp; Loss'!K18/'Profit &amp; Loss'!J18-1,0)</f>
        <v>6.3470538183365344E-2</v>
      </c>
      <c r="M6" s="48">
        <f>IFERROR('Profit &amp; Loss'!L18/'Profit &amp; Loss'!K18-1,0)</f>
        <v>6.2369462849523272E-2</v>
      </c>
      <c r="N6" s="48">
        <f>IFERROR('Profit &amp; Loss'!M18/'Profit &amp; Loss'!L18-1,0)</f>
        <v>5.9041228328674311E-2</v>
      </c>
      <c r="O6" s="48">
        <f>IFERROR('Profit &amp; Loss'!N18/'Profit &amp; Loss'!M18-1,0)</f>
        <v>5.5749697697653033E-2</v>
      </c>
      <c r="P6" s="48">
        <f>IFERROR('Profit &amp; Loss'!O18/'Profit &amp; Loss'!N18-1,0)</f>
        <v>5.2805790822608945E-2</v>
      </c>
      <c r="Q6" s="48">
        <f>IFERROR('Profit &amp; Loss'!P18/'Profit &amp; Loss'!O18-1,0)</f>
        <v>5.0157200200568131E-2</v>
      </c>
      <c r="T6" s="22"/>
      <c r="U6" s="23">
        <f>IFERROR(AVERAGE(D6:L6),0)</f>
        <v>8.1760840740316781E-2</v>
      </c>
      <c r="V6" s="23">
        <f>IFERROR(MEDIAN(C6:L6),0)</f>
        <v>6.3470538183365344E-2</v>
      </c>
    </row>
    <row r="7" spans="2:22" x14ac:dyDescent="0.3">
      <c r="B7" s="36" t="s">
        <v>88</v>
      </c>
      <c r="C7" s="23" t="s">
        <v>113</v>
      </c>
      <c r="D7" s="5">
        <f>IFERROR('Profit &amp; Loss'!C21/'Profit &amp; Loss'!B21-1,0)</f>
        <v>0.11677001323765057</v>
      </c>
      <c r="E7" s="5">
        <f>IFERROR('Profit &amp; Loss'!D21/'Profit &amp; Loss'!C21-1,0)</f>
        <v>-3.8617505770790483E-2</v>
      </c>
      <c r="F7" s="5">
        <f>IFERROR('Profit &amp; Loss'!E21/'Profit &amp; Loss'!D21-1,0)</f>
        <v>7.975340687865029E-2</v>
      </c>
      <c r="G7" s="5">
        <f>IFERROR('Profit &amp; Loss'!F21/'Profit &amp; Loss'!E21-1,0)</f>
        <v>0.16731774746078498</v>
      </c>
      <c r="H7" s="5">
        <f>IFERROR('Profit &amp; Loss'!G21/'Profit &amp; Loss'!F21-1,0)</f>
        <v>0.14019461463213712</v>
      </c>
      <c r="I7" s="5">
        <f>IFERROR('Profit &amp; Loss'!H21/'Profit &amp; Loss'!G21-1,0)</f>
        <v>8.8593876998103394E-2</v>
      </c>
      <c r="J7" s="5">
        <f>IFERROR('Profit &amp; Loss'!I21/'Profit &amp; Loss'!H21-1,0)</f>
        <v>8.8767214202754241E-2</v>
      </c>
      <c r="K7" s="5">
        <f>IFERROR('Profit &amp; Loss'!J21/'Profit &amp; Loss'!I21-1,0)</f>
        <v>1.9125266686985665E-2</v>
      </c>
      <c r="L7" s="5">
        <f>IFERROR('Profit &amp; Loss'!K21/'Profit &amp; Loss'!J21-1,0)</f>
        <v>0.1018317757009346</v>
      </c>
      <c r="M7" s="48">
        <f>IFERROR('Profit &amp; Loss'!L21/'Profit &amp; Loss'!K21-1,0)</f>
        <v>4.2948587455611253E-2</v>
      </c>
      <c r="N7" s="48">
        <f>IFERROR('Profit &amp; Loss'!M21/'Profit &amp; Loss'!L21-1,0)</f>
        <v>5.7265680851121159E-2</v>
      </c>
      <c r="O7" s="48">
        <f>IFERROR('Profit &amp; Loss'!N21/'Profit &amp; Loss'!M21-1,0)</f>
        <v>5.4163945627197396E-2</v>
      </c>
      <c r="P7" s="48">
        <f>IFERROR('Profit &amp; Loss'!O21/'Profit &amp; Loss'!N21-1,0)</f>
        <v>5.1380950611978671E-2</v>
      </c>
      <c r="Q7" s="48">
        <f>IFERROR('Profit &amp; Loss'!P21/'Profit &amp; Loss'!O21-1,0)</f>
        <v>4.8869965336607146E-2</v>
      </c>
      <c r="T7" s="22"/>
      <c r="U7" s="23">
        <f>IFERROR(AVERAGE(D7:L7),0)</f>
        <v>8.4859601114134486E-2</v>
      </c>
      <c r="V7" s="23">
        <f>IFERROR(MEDIAN(C7:L7),0)</f>
        <v>8.8767214202754241E-2</v>
      </c>
    </row>
    <row r="8" spans="2:22" x14ac:dyDescent="0.3">
      <c r="B8" s="39" t="s">
        <v>89</v>
      </c>
      <c r="C8" s="28" t="s">
        <v>113</v>
      </c>
      <c r="D8" s="29">
        <f>IFERROR('Profit &amp; Loss'!C32/'Profit &amp; Loss'!B32-1,0)</f>
        <v>0.68963896853592144</v>
      </c>
      <c r="E8" s="29">
        <f>IFERROR('Profit &amp; Loss'!D32/'Profit &amp; Loss'!C32-1,0)</f>
        <v>-2.5838579728767352E-2</v>
      </c>
      <c r="F8" s="29">
        <f>IFERROR('Profit &amp; Loss'!E32/'Profit &amp; Loss'!D32-1,0)</f>
        <v>-0.17390646350868544</v>
      </c>
      <c r="G8" s="29">
        <f>IFERROR('Profit &amp; Loss'!F32/'Profit &amp; Loss'!E32-1,0)</f>
        <v>0.54369512340846549</v>
      </c>
      <c r="H8" s="29">
        <f>IFERROR('Profit &amp; Loss'!G32/'Profit &amp; Loss'!F32-1,0)</f>
        <v>0.14865158399694378</v>
      </c>
      <c r="I8" s="29">
        <f>IFERROR('Profit &amp; Loss'!H32/'Profit &amp; Loss'!G32-1,0)</f>
        <v>9.6761529392781709E-2</v>
      </c>
      <c r="J8" s="29">
        <f>IFERROR('Profit &amp; Loss'!I32/'Profit &amp; Loss'!H32-1,0)</f>
        <v>0.35349861290755547</v>
      </c>
      <c r="K8" s="29">
        <f>IFERROR('Profit &amp; Loss'!J32/'Profit &amp; Loss'!I32-1,0)</f>
        <v>-6.4855345095345629E-2</v>
      </c>
      <c r="L8" s="29">
        <f>IFERROR('Profit &amp; Loss'!K32/'Profit &amp; Loss'!J32-1,0)</f>
        <v>0.11614900276192253</v>
      </c>
      <c r="M8" s="71">
        <f>IFERROR('Profit &amp; Loss'!L32/'Profit &amp; Loss'!K32-1,0)</f>
        <v>8.0559997177228615E-2</v>
      </c>
      <c r="N8" s="71">
        <f>IFERROR('Profit &amp; Loss'!M32/'Profit &amp; Loss'!L32-1,0)</f>
        <v>7.6861671750676486E-2</v>
      </c>
      <c r="O8" s="71">
        <f>IFERROR('Profit &amp; Loss'!N32/'Profit &amp; Loss'!M32-1,0)</f>
        <v>7.1482911862293497E-2</v>
      </c>
      <c r="P8" s="71">
        <f>IFERROR('Profit &amp; Loss'!O32/'Profit &amp; Loss'!N32-1,0)</f>
        <v>6.679945249741337E-2</v>
      </c>
      <c r="Q8" s="71">
        <f>IFERROR('Profit &amp; Loss'!P32/'Profit &amp; Loss'!O32-1,0)</f>
        <v>6.2685596317991532E-2</v>
      </c>
      <c r="T8" s="27"/>
      <c r="U8" s="28">
        <f>IFERROR(AVERAGE(D8:L8),0)</f>
        <v>0.18708827029675468</v>
      </c>
      <c r="V8" s="28">
        <f>IFERROR(MEDIAN(C8:L8),0)</f>
        <v>0.11614900276192253</v>
      </c>
    </row>
    <row r="9" spans="2:22" x14ac:dyDescent="0.3">
      <c r="C9" s="23"/>
      <c r="D9" s="5"/>
      <c r="E9" s="5"/>
      <c r="F9" s="5"/>
      <c r="G9" s="5"/>
      <c r="H9" s="5"/>
      <c r="I9" s="5"/>
      <c r="J9" s="5"/>
      <c r="K9" s="5"/>
      <c r="L9" s="5"/>
      <c r="M9" s="72"/>
      <c r="N9" s="72"/>
      <c r="O9" s="72"/>
      <c r="P9" s="72"/>
      <c r="Q9" s="72"/>
      <c r="T9" s="22"/>
      <c r="U9" s="23"/>
      <c r="V9" s="23"/>
    </row>
    <row r="10" spans="2:22" x14ac:dyDescent="0.3">
      <c r="C10" s="23"/>
      <c r="D10" s="5"/>
      <c r="E10" s="5"/>
      <c r="F10" s="5"/>
      <c r="G10" s="5"/>
      <c r="H10" s="5"/>
      <c r="I10" s="5"/>
      <c r="J10" s="5"/>
      <c r="K10" s="5"/>
      <c r="L10" s="5"/>
      <c r="M10" s="72"/>
      <c r="N10" s="72"/>
      <c r="O10" s="72"/>
      <c r="P10" s="72"/>
      <c r="Q10" s="72"/>
      <c r="T10" s="22"/>
      <c r="U10" s="23"/>
      <c r="V10" s="23"/>
    </row>
    <row r="11" spans="2:22" x14ac:dyDescent="0.3">
      <c r="B11" s="38" t="s">
        <v>63</v>
      </c>
      <c r="C11" s="25">
        <f>IFERROR('Profit &amp; Loss'!B60,0)</f>
        <v>0.39315752584545294</v>
      </c>
      <c r="D11" s="25">
        <f>IFERROR('Profit &amp; Loss'!C60,0)</f>
        <v>0.38907007742264826</v>
      </c>
      <c r="E11" s="25">
        <f>IFERROR('Profit &amp; Loss'!D60,0)</f>
        <v>0.36420925309948593</v>
      </c>
      <c r="F11" s="25">
        <f>IFERROR('Profit &amp; Loss'!E60,0)</f>
        <v>0.34567302926501525</v>
      </c>
      <c r="G11" s="25">
        <f>IFERROR('Profit &amp; Loss'!F60,0)</f>
        <v>0.34022414204952622</v>
      </c>
      <c r="H11" s="25">
        <f>IFERROR('Profit &amp; Loss'!G60,0)</f>
        <v>0.32157742866303302</v>
      </c>
      <c r="I11" s="25">
        <f>IFERROR('Profit &amp; Loss'!H60,0)</f>
        <v>0.30380126322674716</v>
      </c>
      <c r="J11" s="25">
        <f>IFERROR('Profit &amp; Loss'!I60,0)</f>
        <v>0.3146417648207197</v>
      </c>
      <c r="K11" s="25">
        <f>IFERROR('Profit &amp; Loss'!J60,0)</f>
        <v>0.30679796306521873</v>
      </c>
      <c r="L11" s="25">
        <f>IFERROR('Profit &amp; Loss'!K60,0)</f>
        <v>0.29905401623285754</v>
      </c>
      <c r="M11" s="70">
        <f>IFERROR('Profit &amp; Loss'!L60,0)</f>
        <v>0.2956168118487027</v>
      </c>
      <c r="N11" s="70">
        <f>IFERROR('Profit &amp; Loss'!M60,0)</f>
        <v>0.2922522473621415</v>
      </c>
      <c r="O11" s="70">
        <f>IFERROR('Profit &amp; Loss'!N60,0)</f>
        <v>0.28929813745719779</v>
      </c>
      <c r="P11" s="70">
        <f>IFERROR('Profit &amp; Loss'!O60,0)</f>
        <v>0.28668369104545072</v>
      </c>
      <c r="Q11" s="70">
        <f>IFERROR('Profit &amp; Loss'!P60,0)</f>
        <v>0.28435351114698815</v>
      </c>
      <c r="T11" s="24"/>
      <c r="U11" s="25">
        <f>IFERROR(AVERAGE(C11:L11),0)</f>
        <v>0.33782064636907044</v>
      </c>
      <c r="V11" s="25">
        <f>IFERROR(MEDIAN(C11:L11),0)</f>
        <v>0.33090078535627965</v>
      </c>
    </row>
    <row r="12" spans="2:22" x14ac:dyDescent="0.3">
      <c r="B12" s="36" t="s">
        <v>70</v>
      </c>
      <c r="C12" s="23">
        <f>IFERROR('Profit &amp; Loss'!B59,0)</f>
        <v>0.31619064306991412</v>
      </c>
      <c r="D12" s="23">
        <f>IFERROR('Profit &amp; Loss'!C59,0)</f>
        <v>0.31384532486316324</v>
      </c>
      <c r="E12" s="23">
        <f>IFERROR('Profit &amp; Loss'!D59,0)</f>
        <v>0.2788267311762927</v>
      </c>
      <c r="F12" s="23">
        <f>IFERROR('Profit &amp; Loss'!E59,0)</f>
        <v>0.27612869116982963</v>
      </c>
      <c r="G12" s="23">
        <f>IFERROR('Profit &amp; Loss'!F59,0)</f>
        <v>0.29948642407835019</v>
      </c>
      <c r="H12" s="23">
        <f>IFERROR('Profit &amp; Loss'!G59,0)</f>
        <v>0.27775174488864773</v>
      </c>
      <c r="I12" s="23">
        <f>IFERROR('Profit &amp; Loss'!H59,0)</f>
        <v>0.25776230351509538</v>
      </c>
      <c r="J12" s="23">
        <f>IFERROR('Profit &amp; Loss'!I59,0)</f>
        <v>0.26769050562894514</v>
      </c>
      <c r="K12" s="23">
        <f>IFERROR('Profit &amp; Loss'!J59,0)</f>
        <v>0.26281366955027918</v>
      </c>
      <c r="L12" s="23">
        <f>IFERROR('Profit &amp; Loss'!K59,0)</f>
        <v>0.25364119787293593</v>
      </c>
      <c r="M12" s="48">
        <f>IFERROR('Profit &amp; Loss'!L59,0)</f>
        <v>0.25538209797319306</v>
      </c>
      <c r="N12" s="48">
        <f>IFERROR('Profit &amp; Loss'!M59,0)</f>
        <v>0.25338206888375203</v>
      </c>
      <c r="O12" s="48">
        <f>IFERROR('Profit &amp; Loss'!N59,0)</f>
        <v>0.25162603009570311</v>
      </c>
      <c r="P12" s="48">
        <f>IFERROR('Profit &amp; Loss'!O59,0)</f>
        <v>0.25007190060965401</v>
      </c>
      <c r="Q12" s="48">
        <f>IFERROR('Profit &amp; Loss'!P59,0)</f>
        <v>0.24868675028806836</v>
      </c>
      <c r="T12" s="22"/>
      <c r="U12" s="23">
        <f>IFERROR(AVERAGE(C12:L12),0)</f>
        <v>0.28041372358134536</v>
      </c>
      <c r="V12" s="23">
        <f>IFERROR(MEDIAN(C12:L12),0)</f>
        <v>0.27694021802923868</v>
      </c>
    </row>
    <row r="13" spans="2:22" x14ac:dyDescent="0.3">
      <c r="B13" s="36" t="s">
        <v>90</v>
      </c>
      <c r="C13" s="23">
        <f>IFERROR((Annual[[#This Row],[Column2]]-'Profit &amp; Loss'!B15)/'Profit &amp; Loss'!B4,0)</f>
        <v>-2.4867122247532271E-2</v>
      </c>
      <c r="D13" s="23">
        <f>IFERROR((Annual[[#This Row],[Column3]]-'Profit &amp; Loss'!C15)/'Profit &amp; Loss'!C4,0)</f>
        <v>-2.6417288222115084E-2</v>
      </c>
      <c r="E13" s="23">
        <f>IFERROR((Annual[[#This Row],[Column4]]-'Profit &amp; Loss'!D15)/'Profit &amp; Loss'!D4,0)</f>
        <v>-2.4324160870879952E-2</v>
      </c>
      <c r="F13" s="23">
        <f>IFERROR((Annual[[#This Row],[Column5]]-'Profit &amp; Loss'!E15)/'Profit &amp; Loss'!E4,0)</f>
        <v>-3.1864391845006661E-2</v>
      </c>
      <c r="G13" s="23">
        <f>IFERROR((Annual[[#This Row],[Column6]]-'Profit &amp; Loss'!F15)/'Profit &amp; Loss'!F4,0)</f>
        <v>-3.2516522016084085E-2</v>
      </c>
      <c r="H13" s="23">
        <f>IFERROR((Annual[[#This Row],[Column7]]-'Profit &amp; Loss'!G15)/'Profit &amp; Loss'!G4,0)</f>
        <v>-2.8575891352422292E-2</v>
      </c>
      <c r="I13" s="23">
        <f>IFERROR((Annual[[#This Row],[Column8]]-'Profit &amp; Loss'!H15)/'Profit &amp; Loss'!H4,0)</f>
        <v>-2.8787125171189708E-2</v>
      </c>
      <c r="J13" s="23">
        <f>IFERROR((Annual[[#This Row],[Column9]]-'Profit &amp; Loss'!I15)/'Profit &amp; Loss'!I4,0)</f>
        <v>-3.0441855925034164E-2</v>
      </c>
      <c r="K13" s="23">
        <f>IFERROR((Annual[[#This Row],[Column10]]-'Profit &amp; Loss'!J15)/'Profit &amp; Loss'!J4,0)</f>
        <v>-2.9523283637032948E-2</v>
      </c>
      <c r="L13" s="23">
        <f>IFERROR((Annual[[#This Row],[Column11]]-'Profit &amp; Loss'!K15)/'Profit &amp; Loss'!K4,0)</f>
        <v>-2.7439126784214944E-2</v>
      </c>
      <c r="M13" s="48">
        <f>IFERROR((Annual[[#This Row],[Column12]]-'Profit &amp; Loss'!L15)/'Profit &amp; Loss'!L4,0)</f>
        <v>-2.9488722573128408E-2</v>
      </c>
      <c r="N13" s="48">
        <f>IFERROR((Annual[[#This Row],[Column13]]-'Profit &amp; Loss'!M15)/'Profit &amp; Loss'!M4,0)</f>
        <v>-2.9566237888575306E-2</v>
      </c>
      <c r="O13" s="48">
        <f>IFERROR((Annual[[#This Row],[Column14]]-'Profit &amp; Loss'!N15)/'Profit &amp; Loss'!N4,0)</f>
        <v>-2.9634296848973056E-2</v>
      </c>
      <c r="P13" s="48">
        <f>IFERROR((Annual[[#This Row],[Column15]]-'Profit &amp; Loss'!O15)/'Profit &amp; Loss'!O4,0)</f>
        <v>-2.9694530391571244E-2</v>
      </c>
      <c r="Q13" s="48">
        <f>IFERROR((Annual[[#This Row],[Column12]]-'Profit &amp; Loss'!P15)/'Profit &amp; Loss'!P4,0)</f>
        <v>-2.974821479280618E-2</v>
      </c>
      <c r="T13" s="22"/>
      <c r="U13" s="23">
        <f>IFERROR(AVERAGE(C13:L13),0)</f>
        <v>-2.8475676807151205E-2</v>
      </c>
      <c r="V13" s="23">
        <f>IFERROR(MEDIAN(C13:L13),0)</f>
        <v>-2.8681508261806002E-2</v>
      </c>
    </row>
    <row r="14" spans="2:22" x14ac:dyDescent="0.3">
      <c r="B14" s="36" t="s">
        <v>91</v>
      </c>
      <c r="C14" s="23">
        <f>IFERROR('Profit &amp; Loss'!B62,0)</f>
        <v>0.29132352082238189</v>
      </c>
      <c r="D14" s="23">
        <f>IFERROR('Profit &amp; Loss'!C62,0)</f>
        <v>0.28742803664104816</v>
      </c>
      <c r="E14" s="23">
        <f>IFERROR('Profit &amp; Loss'!D62,0)</f>
        <v>0.25450257030541273</v>
      </c>
      <c r="F14" s="23">
        <f>IFERROR('Profit &amp; Loss'!E62,0)</f>
        <v>0.24239186703527882</v>
      </c>
      <c r="G14" s="23">
        <f>IFERROR('Profit &amp; Loss'!F62,0)</f>
        <v>0.26502906282347322</v>
      </c>
      <c r="H14" s="23">
        <f>IFERROR('Profit &amp; Loss'!G62,0)</f>
        <v>0.24753167106485477</v>
      </c>
      <c r="I14" s="23">
        <f>IFERROR('Profit &amp; Loss'!H62,0)</f>
        <v>0.22704013845074164</v>
      </c>
      <c r="J14" s="23">
        <f>IFERROR('Profit &amp; Loss'!I62,0)</f>
        <v>0.2341901477191384</v>
      </c>
      <c r="K14" s="23">
        <f>IFERROR('Profit &amp; Loss'!J62,0)</f>
        <v>0.23073808209092583</v>
      </c>
      <c r="L14" s="23">
        <f>IFERROR('Profit &amp; Loss'!K62,0)</f>
        <v>0.22387349566190876</v>
      </c>
      <c r="M14" s="48">
        <f>IFERROR('Profit &amp; Loss'!L62,0)</f>
        <v>0.22312661960066021</v>
      </c>
      <c r="N14" s="48">
        <f>IFERROR('Profit &amp; Loss'!M62,0)</f>
        <v>0.22095046583982159</v>
      </c>
      <c r="O14" s="48">
        <f>IFERROR('Profit &amp; Loss'!N62,0)</f>
        <v>0.21903978842369498</v>
      </c>
      <c r="P14" s="48">
        <f>IFERROR('Profit &amp; Loss'!O62,0)</f>
        <v>0.21734880065569148</v>
      </c>
      <c r="Q14" s="48">
        <f>IFERROR('Profit &amp; Loss'!P62,0)</f>
        <v>0.215841672535626</v>
      </c>
      <c r="T14" s="22"/>
      <c r="U14" s="23">
        <f>IFERROR(AVERAGE(C14:L14),0)</f>
        <v>0.2504048592615164</v>
      </c>
      <c r="V14" s="23">
        <f>IFERROR(MEDIAN(C14:L14),0)</f>
        <v>0.24496176905006678</v>
      </c>
    </row>
    <row r="15" spans="2:22" x14ac:dyDescent="0.3">
      <c r="B15" s="39" t="s">
        <v>92</v>
      </c>
      <c r="C15" s="28">
        <f>IFERROR('Profit &amp; Loss'!B63,0)</f>
        <v>0.20958180012849717</v>
      </c>
      <c r="D15" s="28">
        <f>IFERROR('Profit &amp; Loss'!C63,0)</f>
        <v>0.22729077451008195</v>
      </c>
      <c r="E15" s="28">
        <f>IFERROR('Profit &amp; Loss'!D63,0)</f>
        <v>0.18639250075597219</v>
      </c>
      <c r="F15" s="28">
        <f>IFERROR('Profit &amp; Loss'!E63,0)</f>
        <v>0.18326706391602693</v>
      </c>
      <c r="G15" s="28">
        <f>IFERROR('Profit &amp; Loss'!F63,0)</f>
        <v>0.19331754120550998</v>
      </c>
      <c r="H15" s="28">
        <f>IFERROR('Profit &amp; Loss'!G63,0)</f>
        <v>0.1820603250548746</v>
      </c>
      <c r="I15" s="28">
        <f>IFERROR('Profit &amp; Loss'!H63,0)</f>
        <v>0.16426035825492105</v>
      </c>
      <c r="J15" s="28">
        <f>IFERROR('Profit &amp; Loss'!I63,0)</f>
        <v>0.17080757467300059</v>
      </c>
      <c r="K15" s="28">
        <f>IFERROR('Profit &amp; Loss'!J63,0)</f>
        <v>0.16412049819007302</v>
      </c>
      <c r="L15" s="28">
        <f>IFERROR('Profit &amp; Loss'!K63,0)</f>
        <v>0.16498180800447804</v>
      </c>
      <c r="M15" s="71">
        <f>IFERROR('Profit &amp; Loss'!L63,0)</f>
        <v>0.16142547963985621</v>
      </c>
      <c r="N15" s="71">
        <f>IFERROR('Profit &amp; Loss'!M63,0)</f>
        <v>0.15958309689889666</v>
      </c>
      <c r="O15" s="71">
        <f>IFERROR('Profit &amp; Loss'!N63,0)</f>
        <v>0.15796547264901087</v>
      </c>
      <c r="P15" s="71">
        <f>IFERROR('Profit &amp; Loss'!O63,0)</f>
        <v>0.15653384280051036</v>
      </c>
      <c r="Q15" s="71">
        <f>IFERROR('Profit &amp; Loss'!P63,0)</f>
        <v>0.15525787283607489</v>
      </c>
      <c r="T15" s="27"/>
      <c r="U15" s="28">
        <f>IFERROR(AVERAGE(C15:L15),0)</f>
        <v>0.18460802446934357</v>
      </c>
      <c r="V15" s="28">
        <f>IFERROR(MEDIAN(C15:L15),0)</f>
        <v>0.18266369448545078</v>
      </c>
    </row>
    <row r="16" spans="2:22" x14ac:dyDescent="0.3">
      <c r="C16" s="23"/>
      <c r="D16" s="5"/>
      <c r="E16" s="5"/>
      <c r="F16" s="5"/>
      <c r="G16" s="5"/>
      <c r="H16" s="5"/>
      <c r="I16" s="5"/>
      <c r="J16" s="5"/>
      <c r="K16" s="5"/>
      <c r="L16" s="5"/>
      <c r="M16" s="72"/>
      <c r="N16" s="72"/>
      <c r="O16" s="72"/>
      <c r="P16" s="72"/>
      <c r="Q16" s="72"/>
      <c r="T16" s="22"/>
      <c r="U16" s="23"/>
      <c r="V16" s="23"/>
    </row>
    <row r="17" spans="2:22" x14ac:dyDescent="0.3">
      <c r="C17" s="23"/>
      <c r="D17" s="5"/>
      <c r="E17" s="5"/>
      <c r="F17" s="5"/>
      <c r="G17" s="5"/>
      <c r="H17" s="5"/>
      <c r="I17" s="5"/>
      <c r="J17" s="5"/>
      <c r="K17" s="5"/>
      <c r="L17" s="5"/>
      <c r="M17" s="72"/>
      <c r="N17" s="72"/>
      <c r="O17" s="72"/>
      <c r="P17" s="72"/>
      <c r="Q17" s="72"/>
      <c r="T17" s="22"/>
      <c r="U17" s="23"/>
      <c r="V17" s="23"/>
    </row>
    <row r="18" spans="2:22" x14ac:dyDescent="0.3">
      <c r="C18" s="23"/>
      <c r="D18" s="5"/>
      <c r="E18" s="5"/>
      <c r="F18" s="5"/>
      <c r="G18" s="5"/>
      <c r="H18" s="5"/>
      <c r="I18" s="5"/>
      <c r="J18" s="5"/>
      <c r="K18" s="5"/>
      <c r="L18" s="5"/>
      <c r="M18" s="72"/>
      <c r="N18" s="72"/>
      <c r="O18" s="72"/>
      <c r="P18" s="72"/>
      <c r="Q18" s="72"/>
      <c r="T18" s="22"/>
      <c r="U18" s="23"/>
      <c r="V18" s="23"/>
    </row>
    <row r="19" spans="2:22" x14ac:dyDescent="0.3">
      <c r="C19" s="23"/>
      <c r="D19" s="5"/>
      <c r="E19" s="5"/>
      <c r="F19" s="5"/>
      <c r="G19" s="5"/>
      <c r="H19" s="5"/>
      <c r="I19" s="5"/>
      <c r="J19" s="5"/>
      <c r="K19" s="5"/>
      <c r="L19" s="5"/>
      <c r="M19" s="72"/>
      <c r="N19" s="72"/>
      <c r="O19" s="72"/>
      <c r="P19" s="72"/>
      <c r="Q19" s="72"/>
      <c r="T19" s="22"/>
      <c r="U19" s="23"/>
      <c r="V19" s="23"/>
    </row>
    <row r="20" spans="2:22" x14ac:dyDescent="0.3">
      <c r="B20" s="38" t="s">
        <v>93</v>
      </c>
      <c r="C20" s="25">
        <f>IFERROR('Profit &amp; Loss'!B12/'Profit &amp; Loss'!B4,0)</f>
        <v>7.6966882775538814E-2</v>
      </c>
      <c r="D20" s="25">
        <f>IFERROR('Profit &amp; Loss'!C12/'Profit &amp; Loss'!C4,0)</f>
        <v>7.5224752559484978E-2</v>
      </c>
      <c r="E20" s="25">
        <f>IFERROR('Profit &amp; Loss'!D12/'Profit &amp; Loss'!D4,0)</f>
        <v>8.5382521923193233E-2</v>
      </c>
      <c r="F20" s="25">
        <f>IFERROR('Profit &amp; Loss'!E12/'Profit &amp; Loss'!E4,0)</f>
        <v>6.9544338095185648E-2</v>
      </c>
      <c r="G20" s="25">
        <f>IFERROR('Profit &amp; Loss'!F12/'Profit &amp; Loss'!F4,0)</f>
        <v>4.0737717971176049E-2</v>
      </c>
      <c r="H20" s="25">
        <f>IFERROR('Profit &amp; Loss'!G12/'Profit &amp; Loss'!G4,0)</f>
        <v>4.3825683774385282E-2</v>
      </c>
      <c r="I20" s="25">
        <f>IFERROR('Profit &amp; Loss'!H12/'Profit &amp; Loss'!H4,0)</f>
        <v>4.6038959711651804E-2</v>
      </c>
      <c r="J20" s="25">
        <f>IFERROR('Profit &amp; Loss'!I12/'Profit &amp; Loss'!I4,0)</f>
        <v>4.6951259191774584E-2</v>
      </c>
      <c r="K20" s="25">
        <f>IFERROR('Profit &amp; Loss'!J12/'Profit &amp; Loss'!J4,0)</f>
        <v>4.3984293514939564E-2</v>
      </c>
      <c r="L20" s="25">
        <f>IFERROR('Profit &amp; Loss'!K12/'Profit &amp; Loss'!K4,0)</f>
        <v>4.5412818359921635E-2</v>
      </c>
      <c r="M20" s="70">
        <f>IFERROR('Profit &amp; Loss'!L12/'Profit &amp; Loss'!L4,0)</f>
        <v>4.0234713875509642E-2</v>
      </c>
      <c r="N20" s="70">
        <f>IFERROR('Profit &amp; Loss'!M12/'Profit &amp; Loss'!M4,0)</f>
        <v>3.8870178478389507E-2</v>
      </c>
      <c r="O20" s="70">
        <f>IFERROR('Profit &amp; Loss'!N12/'Profit &amp; Loss'!N4,0)</f>
        <v>3.7672107361494664E-2</v>
      </c>
      <c r="P20" s="70">
        <f>IFERROR('Profit &amp; Loss'!O12/'Profit &amp; Loss'!O4,0)</f>
        <v>3.6611790435796703E-2</v>
      </c>
      <c r="Q20" s="70">
        <f>IFERROR('Profit &amp; Loss'!P12/'Profit &amp; Loss'!P4,0)</f>
        <v>3.5666760858919781E-2</v>
      </c>
      <c r="T20" s="24"/>
      <c r="U20" s="25">
        <f>IFERROR(AVERAGE(C20:L20),0)</f>
        <v>5.7406922787725148E-2</v>
      </c>
      <c r="V20" s="25">
        <f>IFERROR(MEDIAN(C20:L20),0)</f>
        <v>4.6495109451713194E-2</v>
      </c>
    </row>
    <row r="21" spans="2:22" x14ac:dyDescent="0.3">
      <c r="B21" s="36" t="s">
        <v>94</v>
      </c>
      <c r="C21" s="23">
        <f>IFERROR('Profit &amp; Loss'!B15/'Profit &amp; Loss'!B4,0)</f>
        <v>2.4867122247532271E-2</v>
      </c>
      <c r="D21" s="23">
        <f>IFERROR('Profit &amp; Loss'!C15/'Profit &amp; Loss'!C4,0)</f>
        <v>2.6417288222115084E-2</v>
      </c>
      <c r="E21" s="23">
        <f>IFERROR('Profit &amp; Loss'!D15/'Profit &amp; Loss'!D4,0)</f>
        <v>2.4324160870879952E-2</v>
      </c>
      <c r="F21" s="23">
        <f>IFERROR('Profit &amp; Loss'!E15/'Profit &amp; Loss'!E4,0)</f>
        <v>3.1864391845006661E-2</v>
      </c>
      <c r="G21" s="23">
        <f>IFERROR('Profit &amp; Loss'!F15/'Profit &amp; Loss'!F4,0)</f>
        <v>3.2516522016084085E-2</v>
      </c>
      <c r="H21" s="23">
        <f>IFERROR('Profit &amp; Loss'!G15/'Profit &amp; Loss'!G4,0)</f>
        <v>2.8575891352422292E-2</v>
      </c>
      <c r="I21" s="23">
        <f>IFERROR('Profit &amp; Loss'!H15/'Profit &amp; Loss'!H4,0)</f>
        <v>2.8787125171189708E-2</v>
      </c>
      <c r="J21" s="23">
        <f>IFERROR('Profit &amp; Loss'!I15/'Profit &amp; Loss'!I4,0)</f>
        <v>3.0441855925034164E-2</v>
      </c>
      <c r="K21" s="23">
        <f>IFERROR('Profit &amp; Loss'!J15/'Profit &amp; Loss'!J4,0)</f>
        <v>2.9523283637032948E-2</v>
      </c>
      <c r="L21" s="23">
        <f>IFERROR('Profit &amp; Loss'!K15/'Profit &amp; Loss'!K4,0)</f>
        <v>2.7439126784214944E-2</v>
      </c>
      <c r="M21" s="48">
        <f>IFERROR('Profit &amp; Loss'!L15/'Profit &amp; Loss'!L4,0)</f>
        <v>2.9488722573128408E-2</v>
      </c>
      <c r="N21" s="48">
        <f>IFERROR('Profit &amp; Loss'!M15/'Profit &amp; Loss'!M4,0)</f>
        <v>2.9566237888575306E-2</v>
      </c>
      <c r="O21" s="48">
        <f>IFERROR('Profit &amp; Loss'!N15/'Profit &amp; Loss'!N4,0)</f>
        <v>2.9634296848973056E-2</v>
      </c>
      <c r="P21" s="48">
        <f>IFERROR('Profit &amp; Loss'!O15/'Profit &amp; Loss'!O4,0)</f>
        <v>2.9694530391571244E-2</v>
      </c>
      <c r="Q21" s="48">
        <f>IFERROR('Profit &amp; Loss'!P15/'Profit &amp; Loss'!P4,0)</f>
        <v>2.974821479280618E-2</v>
      </c>
      <c r="T21" s="22"/>
      <c r="U21" s="23">
        <f>IFERROR(AVERAGE(C21:L21),0)</f>
        <v>2.8475676807151205E-2</v>
      </c>
      <c r="V21" s="23">
        <f>IFERROR(MEDIAN(C21:L21),0)</f>
        <v>2.8681508261806002E-2</v>
      </c>
    </row>
    <row r="22" spans="2:22" x14ac:dyDescent="0.3">
      <c r="B22" s="39" t="s">
        <v>95</v>
      </c>
      <c r="C22" s="28">
        <f>C13</f>
        <v>-2.4867122247532271E-2</v>
      </c>
      <c r="D22" s="28">
        <f t="shared" ref="D22:K22" si="0">D13</f>
        <v>-2.6417288222115084E-2</v>
      </c>
      <c r="E22" s="28">
        <f t="shared" si="0"/>
        <v>-2.4324160870879952E-2</v>
      </c>
      <c r="F22" s="28">
        <f t="shared" si="0"/>
        <v>-3.1864391845006661E-2</v>
      </c>
      <c r="G22" s="28">
        <f t="shared" si="0"/>
        <v>-3.2516522016084085E-2</v>
      </c>
      <c r="H22" s="28">
        <f t="shared" si="0"/>
        <v>-2.8575891352422292E-2</v>
      </c>
      <c r="I22" s="28">
        <f t="shared" si="0"/>
        <v>-2.8787125171189708E-2</v>
      </c>
      <c r="J22" s="28">
        <f t="shared" si="0"/>
        <v>-3.0441855925034164E-2</v>
      </c>
      <c r="K22" s="28">
        <f t="shared" si="0"/>
        <v>-2.9523283637032948E-2</v>
      </c>
      <c r="L22" s="28">
        <f>L13</f>
        <v>-2.7439126784214944E-2</v>
      </c>
      <c r="M22" s="71">
        <f t="shared" ref="M22:Q22" si="1">M13</f>
        <v>-2.9488722573128408E-2</v>
      </c>
      <c r="N22" s="71">
        <f t="shared" si="1"/>
        <v>-2.9566237888575306E-2</v>
      </c>
      <c r="O22" s="71">
        <f t="shared" si="1"/>
        <v>-2.9634296848973056E-2</v>
      </c>
      <c r="P22" s="71">
        <f t="shared" si="1"/>
        <v>-2.9694530391571244E-2</v>
      </c>
      <c r="Q22" s="71">
        <f t="shared" si="1"/>
        <v>-2.974821479280618E-2</v>
      </c>
      <c r="T22" s="27"/>
      <c r="U22" s="28">
        <f>IFERROR(AVERAGE(C22:L22),0)</f>
        <v>-2.8475676807151205E-2</v>
      </c>
      <c r="V22" s="28">
        <f>IFERROR(MEDIAN(C22:L22),0)</f>
        <v>-2.8681508261806002E-2</v>
      </c>
    </row>
    <row r="23" spans="2:22" x14ac:dyDescent="0.3">
      <c r="M23" s="72"/>
      <c r="N23" s="72"/>
      <c r="O23" s="72"/>
      <c r="P23" s="72"/>
      <c r="Q23" s="72"/>
      <c r="T23" s="22"/>
      <c r="U23" s="23"/>
      <c r="V23" s="23"/>
    </row>
    <row r="24" spans="2:22" x14ac:dyDescent="0.3">
      <c r="M24" s="72"/>
      <c r="N24" s="72"/>
      <c r="O24" s="72"/>
      <c r="P24" s="72"/>
      <c r="Q24" s="72"/>
      <c r="T24" s="22"/>
      <c r="U24" s="23"/>
      <c r="V24" s="23"/>
    </row>
    <row r="25" spans="2:22" x14ac:dyDescent="0.3">
      <c r="B25" s="38" t="s">
        <v>96</v>
      </c>
      <c r="C25" s="25">
        <f>IFERROR(('Profit &amp; Loss'!B14-'Profit &amp; Loss'!B15)/SUM('Balance Sheet'!B4:B6),0)</f>
        <v>0.28922037633005709</v>
      </c>
      <c r="D25" s="25">
        <f>IFERROR(('Profit &amp; Loss'!C14-'Profit &amp; Loss'!C15)/SUM('Balance Sheet'!C4:C6),0)</f>
        <v>0.31221600973460867</v>
      </c>
      <c r="E25" s="25">
        <f>IFERROR(('Profit &amp; Loss'!D14-'Profit &amp; Loss'!D15)/SUM('Balance Sheet'!D4:D6),0)</f>
        <v>0.32396686580033257</v>
      </c>
      <c r="F25" s="25">
        <f>IFERROR(('Profit &amp; Loss'!E14-'Profit &amp; Loss'!E15)/SUM('Balance Sheet'!E4:E6),0)</f>
        <v>0.31643907937730975</v>
      </c>
      <c r="G25" s="25">
        <f>IFERROR(('Profit &amp; Loss'!F14-'Profit &amp; Loss'!F15)/SUM('Balance Sheet'!F4:F6),0)</f>
        <v>0.32840736568881923</v>
      </c>
      <c r="H25" s="25">
        <f>IFERROR(('Profit &amp; Loss'!G14-'Profit &amp; Loss'!G15)/SUM('Balance Sheet'!G4:G6),0)</f>
        <v>0.37501237256260517</v>
      </c>
      <c r="I25" s="25">
        <f>IFERROR(('Profit &amp; Loss'!H14-'Profit &amp; Loss'!H15)/SUM('Balance Sheet'!H4:H6),0)</f>
        <v>0.40147659665973767</v>
      </c>
      <c r="J25" s="25">
        <f>IFERROR(('Profit &amp; Loss'!I14-'Profit &amp; Loss'!I15)/SUM('Balance Sheet'!I4:I6),0)</f>
        <v>0.37790101062451414</v>
      </c>
      <c r="K25" s="25">
        <f>IFERROR(('Profit &amp; Loss'!J14-'Profit &amp; Loss'!J15)/SUM('Balance Sheet'!J4:J6),0)</f>
        <v>0.36545725407275698</v>
      </c>
      <c r="L25" s="25">
        <f>IFERROR(('Profit &amp; Loss'!K14-'Profit &amp; Loss'!K15)/SUM('Balance Sheet'!K4:K6),0)</f>
        <v>0.39607754733994588</v>
      </c>
      <c r="M25" s="70">
        <f>IFERROR(('Profit &amp; Loss'!L14-'Profit &amp; Loss'!L15)/SUM('Balance Sheet'!L4:L6),0)</f>
        <v>0.40052576202905676</v>
      </c>
      <c r="N25" s="70">
        <f>IFERROR(('Profit &amp; Loss'!M14-'Profit &amp; Loss'!M15)/SUM('Balance Sheet'!M4:M6),0)</f>
        <v>0.40676186656852259</v>
      </c>
      <c r="O25" s="70">
        <f>IFERROR(('Profit &amp; Loss'!N14-'Profit &amp; Loss'!N15)/SUM('Balance Sheet'!N4:N6),0)</f>
        <v>0.41250000973581624</v>
      </c>
      <c r="P25" s="70">
        <f>IFERROR(('Profit &amp; Loss'!O14-'Profit &amp; Loss'!O15)/SUM('Balance Sheet'!O4:O6),0)</f>
        <v>0.41779754594947366</v>
      </c>
      <c r="Q25" s="70">
        <f>IFERROR(('Profit &amp; Loss'!P14-'Profit &amp; Loss'!P15)/SUM('Balance Sheet'!P4:P6),0)</f>
        <v>0.4227033472979389</v>
      </c>
      <c r="T25" s="24"/>
      <c r="U25" s="25">
        <f>IFERROR(AVERAGE(C25:L25),0)</f>
        <v>0.34861744781906873</v>
      </c>
      <c r="V25" s="25">
        <f>IFERROR(MEDIAN(C25:L25),0)</f>
        <v>0.3469323098807881</v>
      </c>
    </row>
    <row r="26" spans="2:22" x14ac:dyDescent="0.3">
      <c r="B26" s="36" t="s">
        <v>97</v>
      </c>
      <c r="C26" s="23">
        <f>IFERROR('Profit &amp; Loss'!B35,0)</f>
        <v>0.58952135442067854</v>
      </c>
      <c r="D26" s="23">
        <f>IFERROR('Profit &amp; Loss'!C35,0)</f>
        <v>0.40947033501778018</v>
      </c>
      <c r="E26" s="23">
        <f>IFERROR('Profit &amp; Loss'!D35,0)</f>
        <v>0.40152498377676826</v>
      </c>
      <c r="F26" s="23">
        <f>IFERROR('Profit &amp; Loss'!E35,0)</f>
        <v>0.55363904080774073</v>
      </c>
      <c r="G26" s="23">
        <f>IFERROR('Profit &amp; Loss'!F35,0)</f>
        <v>0.40948360191525501</v>
      </c>
      <c r="H26" s="23">
        <f>IFERROR('Profit &amp; Loss'!G35,0)</f>
        <v>0.41264336674794544</v>
      </c>
      <c r="I26" s="23">
        <f>IFERROR('Profit &amp; Loss'!H35,0)</f>
        <v>0.41640949062551846</v>
      </c>
      <c r="J26" s="23">
        <f>IFERROR('Profit &amp; Loss'!I35,0)</f>
        <v>0.27410850350502891</v>
      </c>
      <c r="K26" s="23">
        <f>IFERROR('Profit &amp; Loss'!J35,0)</f>
        <v>0.33354018691588794</v>
      </c>
      <c r="L26" s="23">
        <f>IFERROR('Profit &amp; Loss'!K35,0)</f>
        <v>0.34076134898554644</v>
      </c>
      <c r="M26" s="48">
        <f>IFERROR('Profit &amp; Loss'!L35,0)</f>
        <v>0.31511717682575113</v>
      </c>
      <c r="N26" s="48">
        <f>IFERROR('Profit &amp; Loss'!M35,0)</f>
        <v>0.30540639928809732</v>
      </c>
      <c r="O26" s="48">
        <f>IFERROR('Profit &amp; Loss'!N35,0)</f>
        <v>0.29669351971257607</v>
      </c>
      <c r="P26" s="48">
        <f>IFERROR('Profit &amp; Loss'!O35,0)</f>
        <v>0.28883223638273181</v>
      </c>
      <c r="Q26" s="48">
        <f>IFERROR('Profit &amp; Loss'!P35,0)</f>
        <v>0.28170351410721539</v>
      </c>
      <c r="T26" s="22"/>
      <c r="U26" s="23">
        <f>IFERROR(AVERAGE(C26:L26),0)</f>
        <v>0.41411022127181496</v>
      </c>
      <c r="V26" s="23">
        <f>IFERROR(MEDIAN(C26:L26),0)</f>
        <v>0.4094769684665176</v>
      </c>
    </row>
    <row r="27" spans="2:22" x14ac:dyDescent="0.3">
      <c r="B27" s="36" t="s">
        <v>98</v>
      </c>
      <c r="C27" s="23">
        <f>IFERROR('Profit &amp; Loss'!B21/SUM('Balance Sheet'!B4:B5),0)</f>
        <v>0.20806877156359629</v>
      </c>
      <c r="D27" s="23">
        <f>IFERROR('Profit &amp; Loss'!C21/SUM('Balance Sheet'!C4:C5),0)</f>
        <v>0.24689247262141306</v>
      </c>
      <c r="E27" s="23">
        <f>IFERROR('Profit &amp; Loss'!D21/SUM('Balance Sheet'!D4:D5),0)</f>
        <v>0.23726673646609595</v>
      </c>
      <c r="F27" s="23">
        <f>IFERROR('Profit &amp; Loss'!E21/SUM('Balance Sheet'!E4:E5),0)</f>
        <v>0.25422459893048127</v>
      </c>
      <c r="G27" s="23">
        <f>IFERROR('Profit &amp; Loss'!F21/SUM('Balance Sheet'!F4:F5),0)</f>
        <v>0.2543909051616875</v>
      </c>
      <c r="H27" s="23">
        <f>IFERROR('Profit &amp; Loss'!G21/SUM('Balance Sheet'!G4:G5),0)</f>
        <v>0.29390842733908429</v>
      </c>
      <c r="I27" s="23">
        <f>IFERROR('Profit &amp; Loss'!H21/SUM('Balance Sheet'!H4:H5),0)</f>
        <v>0.31970506716883046</v>
      </c>
      <c r="J27" s="23">
        <f>IFERROR('Profit &amp; Loss'!I21/SUM('Balance Sheet'!I4:I5),0)</f>
        <v>0.29788006718416632</v>
      </c>
      <c r="K27" s="23">
        <f>IFERROR('Profit &amp; Loss'!J21/SUM('Balance Sheet'!J4:J5),0)</f>
        <v>0.27917510279905655</v>
      </c>
      <c r="L27" s="23">
        <f>IFERROR('Profit &amp; Loss'!K21/SUM('Balance Sheet'!K4:K5),0)</f>
        <v>0.31742988842458969</v>
      </c>
      <c r="M27" s="48">
        <f>IFERROR('Profit &amp; Loss'!L21/SUM('Balance Sheet'!L4:L5),0)</f>
        <v>0.32016292204266378</v>
      </c>
      <c r="N27" s="48">
        <f>IFERROR('Profit &amp; Loss'!M21/SUM('Balance Sheet'!M4:M5),0)</f>
        <v>0.32662562752074942</v>
      </c>
      <c r="O27" s="48">
        <f>IFERROR('Profit &amp; Loss'!N21/SUM('Balance Sheet'!N4:N5),0)</f>
        <v>0.33265037789102658</v>
      </c>
      <c r="P27" s="48">
        <f>IFERROR('Profit &amp; Loss'!O21/SUM('Balance Sheet'!O4:O5),0)</f>
        <v>0.33828023221710385</v>
      </c>
      <c r="Q27" s="48">
        <f>IFERROR('Profit &amp; Loss'!P21/SUM('Balance Sheet'!P4:P5),0)</f>
        <v>0.34355278401719258</v>
      </c>
      <c r="T27" s="22"/>
      <c r="U27" s="23">
        <f>IFERROR(AVERAGE(C27:L27),0)</f>
        <v>0.27089420376590018</v>
      </c>
      <c r="V27" s="23">
        <f>IFERROR(MEDIAN(C27:L27),0)</f>
        <v>0.26678300398037202</v>
      </c>
    </row>
    <row r="28" spans="2:22" x14ac:dyDescent="0.3">
      <c r="B28" s="36" t="s">
        <v>99</v>
      </c>
      <c r="C28" s="23">
        <f>IFERROR(C26*C27,0)</f>
        <v>0.12266098402481805</v>
      </c>
      <c r="D28" s="23">
        <f t="shared" ref="D28:Q28" si="2">IFERROR(D26*D27,0)</f>
        <v>0.10109514347765813</v>
      </c>
      <c r="E28" s="23">
        <f t="shared" si="2"/>
        <v>9.5268522510315923E-2</v>
      </c>
      <c r="F28" s="23">
        <f t="shared" si="2"/>
        <v>0.14074866310160425</v>
      </c>
      <c r="G28" s="23">
        <f t="shared" si="2"/>
        <v>0.10416890414008984</v>
      </c>
      <c r="H28" s="23">
        <f t="shared" si="2"/>
        <v>0.12127936297279363</v>
      </c>
      <c r="I28" s="23">
        <f t="shared" si="2"/>
        <v>0.13312822417016987</v>
      </c>
      <c r="J28" s="23">
        <f t="shared" si="2"/>
        <v>8.1651459439829308E-2</v>
      </c>
      <c r="K28" s="23">
        <f t="shared" si="2"/>
        <v>9.3116115969859553E-2</v>
      </c>
      <c r="L28" s="23">
        <f t="shared" si="2"/>
        <v>0.10816783698789467</v>
      </c>
      <c r="M28" s="48">
        <f t="shared" si="2"/>
        <v>0.10088883611836726</v>
      </c>
      <c r="N28" s="48">
        <f t="shared" si="2"/>
        <v>9.9753556816327346E-2</v>
      </c>
      <c r="O28" s="48">
        <f t="shared" si="2"/>
        <v>9.8695211450207168E-2</v>
      </c>
      <c r="P28" s="48">
        <f t="shared" si="2"/>
        <v>9.7706235995335941E-2</v>
      </c>
      <c r="Q28" s="48">
        <f t="shared" si="2"/>
        <v>9.6780026538960326E-2</v>
      </c>
      <c r="T28" s="22"/>
      <c r="U28" s="23">
        <f>IFERROR(AVERAGE(C28:L28),0)</f>
        <v>0.11012852167950334</v>
      </c>
      <c r="V28" s="23">
        <f>IFERROR(MEDIAN(C28:L28),0)</f>
        <v>0.10616837056399225</v>
      </c>
    </row>
    <row r="29" spans="2:22" x14ac:dyDescent="0.3">
      <c r="B29" s="39" t="s">
        <v>100</v>
      </c>
      <c r="C29" s="30">
        <f>IFERROR(('Profit &amp; Loss'!B14-'Profit &amp; Loss'!B15)/'Profit &amp; Loss'!B16,0)</f>
        <v>0</v>
      </c>
      <c r="D29" s="30">
        <f>IFERROR(('Profit &amp; Loss'!C14-'Profit &amp; Loss'!C15)/'Profit &amp; Loss'!C16,0)</f>
        <v>0</v>
      </c>
      <c r="E29" s="30">
        <f>IFERROR(('Profit &amp; Loss'!D14-'Profit &amp; Loss'!D15)/'Profit &amp; Loss'!D16,0)</f>
        <v>0</v>
      </c>
      <c r="F29" s="30">
        <f>IFERROR(('Profit &amp; Loss'!E14-'Profit &amp; Loss'!E15)/'Profit &amp; Loss'!E16,0)</f>
        <v>130.45294117647057</v>
      </c>
      <c r="G29" s="30">
        <f>IFERROR(('Profit &amp; Loss'!F14-'Profit &amp; Loss'!F15)/'Profit &amp; Loss'!F16,0)</f>
        <v>137.55384615384617</v>
      </c>
      <c r="H29" s="30">
        <f>IFERROR(('Profit &amp; Loss'!G14-'Profit &amp; Loss'!G15)/'Profit &amp; Loss'!G16,0)</f>
        <v>151.55000000000001</v>
      </c>
      <c r="I29" s="30">
        <f>IFERROR(('Profit &amp; Loss'!H14-'Profit &amp; Loss'!H15)/'Profit &amp; Loss'!H16,0)</f>
        <v>118.33098591549296</v>
      </c>
      <c r="J29" s="30">
        <f>IFERROR(('Profit &amp; Loss'!I14-'Profit &amp; Loss'!I15)/'Profit &amp; Loss'!I16,0)</f>
        <v>77.57021276595745</v>
      </c>
      <c r="K29" s="30">
        <f>IFERROR(('Profit &amp; Loss'!J14-'Profit &amp; Loss'!J15)/'Profit &amp; Loss'!J16,0)</f>
        <v>91.40384615384616</v>
      </c>
      <c r="L29" s="30">
        <f>IFERROR(('Profit &amp; Loss'!K14-'Profit &amp; Loss'!K15)/'Profit &amp; Loss'!K16,0)</f>
        <v>97.14182692307692</v>
      </c>
      <c r="M29" s="73">
        <f>IFERROR(('Profit &amp; Loss'!L14-'Profit &amp; Loss'!L15)/'Profit &amp; Loss'!L16,0)</f>
        <v>81.645577628748612</v>
      </c>
      <c r="N29" s="73">
        <f>IFERROR(('Profit &amp; Loss'!M14-'Profit &amp; Loss'!M15)/'Profit &amp; Loss'!M16,0)</f>
        <v>78.110753380553717</v>
      </c>
      <c r="O29" s="73">
        <f>IFERROR(('Profit &amp; Loss'!N14-'Profit &amp; Loss'!N15)/'Profit &amp; Loss'!N16,0)</f>
        <v>75.201857268622305</v>
      </c>
      <c r="P29" s="73">
        <f>IFERROR(('Profit &amp; Loss'!O14-'Profit &amp; Loss'!O15)/'Profit &amp; Loss'!O16,0)</f>
        <v>72.766157645749274</v>
      </c>
      <c r="Q29" s="73">
        <f>IFERROR(('Profit &amp; Loss'!P14-'Profit &amp; Loss'!P15)/'Profit &amp; Loss'!P16,0)</f>
        <v>70.696875628292233</v>
      </c>
      <c r="T29" s="27"/>
      <c r="U29" s="30">
        <f>IFERROR(AVERAGE(C29:L29),0)</f>
        <v>80.40036590886902</v>
      </c>
      <c r="V29" s="30">
        <f>IFERROR(MEDIAN(C29:L29),0)</f>
        <v>94.272836538461547</v>
      </c>
    </row>
    <row r="30" spans="2:22" x14ac:dyDescent="0.3">
      <c r="M30" s="72"/>
      <c r="N30" s="72"/>
      <c r="O30" s="72"/>
      <c r="P30" s="72"/>
      <c r="Q30" s="72"/>
      <c r="T30" s="22"/>
      <c r="U30" s="23"/>
      <c r="V30" s="23"/>
    </row>
    <row r="31" spans="2:22" x14ac:dyDescent="0.3">
      <c r="M31" s="72"/>
      <c r="N31" s="72"/>
      <c r="O31" s="72"/>
      <c r="P31" s="72"/>
      <c r="Q31" s="72"/>
      <c r="T31" s="22"/>
      <c r="U31" s="23"/>
      <c r="V31" s="23"/>
    </row>
    <row r="32" spans="2:22" x14ac:dyDescent="0.3">
      <c r="B32" s="38" t="s">
        <v>101</v>
      </c>
      <c r="C32" s="31">
        <f>IFERROR('Profit &amp; Loss'!B4/'Balance Sheet'!B16,0)</f>
        <v>5.5578639831196233</v>
      </c>
      <c r="D32" s="31">
        <f>IFERROR('Profit &amp; Loss'!C4/'Balance Sheet'!C16,0)</f>
        <v>5.3661543144118093</v>
      </c>
      <c r="E32" s="31">
        <f>IFERROR('Profit &amp; Loss'!D4/'Balance Sheet'!D16,0)</f>
        <v>5.5759762595265396</v>
      </c>
      <c r="F32" s="31">
        <f>IFERROR('Profit &amp; Loss'!E4/'Balance Sheet'!E16,0)</f>
        <v>4.9110726456428839</v>
      </c>
      <c r="G32" s="31">
        <f>IFERROR('Profit &amp; Loss'!F4/'Balance Sheet'!F16,0)</f>
        <v>5.2074219964755883</v>
      </c>
      <c r="H32" s="31">
        <f>IFERROR('Profit &amp; Loss'!G4/'Balance Sheet'!G16,0)</f>
        <v>5.3591065292096216</v>
      </c>
      <c r="I32" s="31">
        <f>IFERROR('Profit &amp; Loss'!H4/'Balance Sheet'!H16,0)</f>
        <v>5.7727737570799249</v>
      </c>
      <c r="J32" s="31">
        <f>IFERROR('Profit &amp; Loss'!I4/'Balance Sheet'!I16,0)</f>
        <v>5.0895903023879709</v>
      </c>
      <c r="K32" s="31">
        <f>IFERROR('Profit &amp; Loss'!J4/'Balance Sheet'!J16,0)</f>
        <v>5.2310803004043906</v>
      </c>
      <c r="L32" s="31">
        <f>IFERROR('Profit &amp; Loss'!K4/'Balance Sheet'!K16,0)</f>
        <v>5.0703865584378729</v>
      </c>
      <c r="M32" s="74">
        <f>IFERROR('Profit &amp; Loss'!L4/'Balance Sheet'!L16,0)</f>
        <v>0</v>
      </c>
      <c r="N32" s="74">
        <f>IFERROR('Profit &amp; Loss'!M4/'Balance Sheet'!M16,0)</f>
        <v>0</v>
      </c>
      <c r="O32" s="74">
        <f>IFERROR('Profit &amp; Loss'!N4/'Balance Sheet'!N16,0)</f>
        <v>0</v>
      </c>
      <c r="P32" s="74">
        <f>IFERROR('Profit &amp; Loss'!O4/'Balance Sheet'!O16,0)</f>
        <v>0</v>
      </c>
      <c r="Q32" s="74">
        <f>IFERROR('Profit &amp; Loss'!P4/'Balance Sheet'!P16,0)</f>
        <v>0</v>
      </c>
      <c r="T32" s="24"/>
      <c r="U32" s="35">
        <f>IFERROR(AVERAGE(C32:L32),0)</f>
        <v>5.3141426646696228</v>
      </c>
      <c r="V32" s="35">
        <f>IFERROR(MEDIAN(C32:L32),0)</f>
        <v>5.2950934148070061</v>
      </c>
    </row>
    <row r="33" spans="2:22" x14ac:dyDescent="0.3">
      <c r="B33" s="36" t="s">
        <v>102</v>
      </c>
      <c r="C33" s="32">
        <f>IFERROR('Profit &amp; Loss'!B4/'Balance Sheet'!B7,0)</f>
        <v>4.8343922066920797</v>
      </c>
      <c r="D33" s="32">
        <f>IFERROR('Profit &amp; Loss'!C4/'Balance Sheet'!C7,0)</f>
        <v>4.8885345903230277</v>
      </c>
      <c r="E33" s="32">
        <f>IFERROR('Profit &amp; Loss'!D4/'Balance Sheet'!D7,0)</f>
        <v>4.3244586253792239</v>
      </c>
      <c r="F33" s="32">
        <f>IFERROR('Profit &amp; Loss'!E4/'Balance Sheet'!E7,0)</f>
        <v>4.1806418934475298</v>
      </c>
      <c r="G33" s="32">
        <f>IFERROR('Profit &amp; Loss'!F4/'Balance Sheet'!F7,0)</f>
        <v>3.8889878072382427</v>
      </c>
      <c r="H33" s="32">
        <f>IFERROR('Profit &amp; Loss'!G4/'Balance Sheet'!G7,0)</f>
        <v>3.3878568444506336</v>
      </c>
      <c r="I33" s="32">
        <f>IFERROR('Profit &amp; Loss'!H4/'Balance Sheet'!H7,0)</f>
        <v>3.5893127904133042</v>
      </c>
      <c r="J33" s="32">
        <f>IFERROR('Profit &amp; Loss'!I4/'Balance Sheet'!I7,0)</f>
        <v>3.8859527121001389</v>
      </c>
      <c r="K33" s="32">
        <f>IFERROR('Profit &amp; Loss'!J4/'Balance Sheet'!J7,0)</f>
        <v>3.7254857142857141</v>
      </c>
      <c r="L33" s="32">
        <f>IFERROR('Profit &amp; Loss'!K4/'Balance Sheet'!K7,0)</f>
        <v>3.4184845005740527</v>
      </c>
      <c r="M33" s="47">
        <f>IFERROR('Profit &amp; Loss'!L4/'Balance Sheet'!L7,0)</f>
        <v>3.482000689960346</v>
      </c>
      <c r="N33" s="47">
        <f>IFERROR('Profit &amp; Loss'!M4/'Balance Sheet'!M7,0)</f>
        <v>3.4494934838364957</v>
      </c>
      <c r="O33" s="47">
        <f>IFERROR('Profit &amp; Loss'!N4/'Balance Sheet'!N7,0)</f>
        <v>3.4214482823700014</v>
      </c>
      <c r="P33" s="47">
        <f>IFERROR('Profit &amp; Loss'!O4/'Balance Sheet'!O7,0)</f>
        <v>3.3970053915906284</v>
      </c>
      <c r="Q33" s="47">
        <f>IFERROR('Profit &amp; Loss'!P4/'Balance Sheet'!P7,0)</f>
        <v>3.3755126393236043</v>
      </c>
      <c r="T33" s="22"/>
      <c r="U33" s="32">
        <f>IFERROR(AVERAGE(C33:L33),0)</f>
        <v>4.0124107684903949</v>
      </c>
      <c r="V33" s="32">
        <f>IFERROR(MEDIAN(C33:L33),0)</f>
        <v>3.8874702596691906</v>
      </c>
    </row>
    <row r="34" spans="2:22" x14ac:dyDescent="0.3">
      <c r="B34" s="36" t="s">
        <v>103</v>
      </c>
      <c r="C34" s="33">
        <f>IFERROR('Profit &amp; Loss'!B4/'Balance Sheet'!B17,0)</f>
        <v>0</v>
      </c>
      <c r="D34" s="33">
        <f>IFERROR('Profit &amp; Loss'!C4/'Balance Sheet'!C17,0)</f>
        <v>0</v>
      </c>
      <c r="E34" s="33">
        <f>IFERROR('Profit &amp; Loss'!D4/'Balance Sheet'!D17,0)</f>
        <v>0</v>
      </c>
      <c r="F34" s="33">
        <f>IFERROR('Profit &amp; Loss'!E4/'Balance Sheet'!E17,0)</f>
        <v>0</v>
      </c>
      <c r="G34" s="33">
        <f>IFERROR('Profit &amp; Loss'!F4/'Balance Sheet'!F17,0)</f>
        <v>0</v>
      </c>
      <c r="H34" s="33">
        <f>IFERROR('Profit &amp; Loss'!G4/'Balance Sheet'!G17,0)</f>
        <v>0</v>
      </c>
      <c r="I34" s="33">
        <f>IFERROR('Profit &amp; Loss'!H4/'Balance Sheet'!H17,0)</f>
        <v>0</v>
      </c>
      <c r="J34" s="33">
        <f>IFERROR('Profit &amp; Loss'!I4/'Balance Sheet'!I17,0)</f>
        <v>0</v>
      </c>
      <c r="K34" s="33">
        <f>IFERROR('Profit &amp; Loss'!J4/'Balance Sheet'!J17,0)</f>
        <v>0</v>
      </c>
      <c r="L34" s="33">
        <f>IFERROR('Profit &amp; Loss'!K4/'Balance Sheet'!K17,0)</f>
        <v>0</v>
      </c>
      <c r="M34" s="75">
        <f>IFERROR('Profit &amp; Loss'!L4/'Balance Sheet'!L17,0)</f>
        <v>0</v>
      </c>
      <c r="N34" s="75">
        <f>IFERROR('Profit &amp; Loss'!M4/'Balance Sheet'!M17,0)</f>
        <v>0</v>
      </c>
      <c r="O34" s="75">
        <f>IFERROR('Profit &amp; Loss'!N4/'Balance Sheet'!N17,0)</f>
        <v>0</v>
      </c>
      <c r="P34" s="75">
        <f>IFERROR('Profit &amp; Loss'!O4/'Balance Sheet'!O17,0)</f>
        <v>0</v>
      </c>
      <c r="Q34" s="75">
        <f>IFERROR('Profit &amp; Loss'!P4/'Balance Sheet'!P17,0)</f>
        <v>0</v>
      </c>
      <c r="T34" s="22"/>
      <c r="U34" s="32">
        <f>IFERROR(AVERAGE(C34:L34),0)</f>
        <v>0</v>
      </c>
      <c r="V34" s="32">
        <f>IFERROR(MEDIAN(C34:L34),0)</f>
        <v>0</v>
      </c>
    </row>
    <row r="35" spans="2:22" x14ac:dyDescent="0.3">
      <c r="B35" s="36" t="s">
        <v>104</v>
      </c>
      <c r="C35" s="32">
        <f>IFERROR('Profit &amp; Loss'!B4/'Balance Sheet'!B10,0)</f>
        <v>4.8299597997037873</v>
      </c>
      <c r="D35" s="32">
        <f>IFERROR('Profit &amp; Loss'!C4/'Balance Sheet'!C10,0)</f>
        <v>5.6085573405439799</v>
      </c>
      <c r="E35" s="32">
        <f>IFERROR('Profit &amp; Loss'!D4/'Balance Sheet'!D10,0)</f>
        <v>5.2625716104392106</v>
      </c>
      <c r="F35" s="32">
        <f>IFERROR('Profit &amp; Loss'!E4/'Balance Sheet'!E10,0)</f>
        <v>3.8165118332002188</v>
      </c>
      <c r="G35" s="32">
        <f>IFERROR('Profit &amp; Loss'!F4/'Balance Sheet'!F10,0)</f>
        <v>3.9393060184277591</v>
      </c>
      <c r="H35" s="32">
        <f>IFERROR('Profit &amp; Loss'!G4/'Balance Sheet'!G10,0)</f>
        <v>4.7147674418604648</v>
      </c>
      <c r="I35" s="32">
        <f>IFERROR('Profit &amp; Loss'!H4/'Balance Sheet'!H10,0)</f>
        <v>5.0219674935842598</v>
      </c>
      <c r="J35" s="32">
        <f>IFERROR('Profit &amp; Loss'!I4/'Balance Sheet'!I10,0)</f>
        <v>5.5633190934762142</v>
      </c>
      <c r="K35" s="32">
        <f>IFERROR('Profit &amp; Loss'!J4/'Balance Sheet'!J10,0)</f>
        <v>5.2643648460967025</v>
      </c>
      <c r="L35" s="32">
        <f>IFERROR('Profit &amp; Loss'!K4/'Balance Sheet'!K10,0)</f>
        <v>5.2901984009475864</v>
      </c>
      <c r="M35" s="47">
        <f>IFERROR('Profit &amp; Loss'!L4/'Balance Sheet'!L10,0)</f>
        <v>5.2001172405506662</v>
      </c>
      <c r="N35" s="47">
        <f>IFERROR('Profit &amp; Loss'!M4/'Balance Sheet'!M10,0)</f>
        <v>5.2313471116619379</v>
      </c>
      <c r="O35" s="47">
        <f>IFERROR('Profit &amp; Loss'!N4/'Balance Sheet'!N10,0)</f>
        <v>5.2590780435760198</v>
      </c>
      <c r="P35" s="47">
        <f>IFERROR('Profit &amp; Loss'!O4/'Balance Sheet'!O10,0)</f>
        <v>5.2838668655946242</v>
      </c>
      <c r="Q35" s="47">
        <f>IFERROR('Profit &amp; Loss'!P4/'Balance Sheet'!P10,0)</f>
        <v>5.3061582055445173</v>
      </c>
      <c r="T35" s="22"/>
      <c r="U35" s="32">
        <f>IFERROR(AVERAGE(C35:L35),0)</f>
        <v>4.9311523878280195</v>
      </c>
      <c r="V35" s="32">
        <f>IFERROR(MEDIAN(C35:L35),0)</f>
        <v>5.1422695520117347</v>
      </c>
    </row>
    <row r="36" spans="2:22" x14ac:dyDescent="0.3">
      <c r="B36" s="39" t="s">
        <v>105</v>
      </c>
      <c r="C36" s="30">
        <f>IFERROR('Profit &amp; Loss'!B4/SUM('Balance Sheet'!B4:B5),0)</f>
        <v>0.99278072540662776</v>
      </c>
      <c r="D36" s="30">
        <f>IFERROR('Profit &amp; Loss'!C4/SUM('Balance Sheet'!C4:C5),0)</f>
        <v>1.0862406235078477</v>
      </c>
      <c r="E36" s="30">
        <f>IFERROR('Profit &amp; Loss'!D4/SUM('Balance Sheet'!D4:D5),0)</f>
        <v>1.2729414300671307</v>
      </c>
      <c r="F36" s="30">
        <f>IFERROR('Profit &amp; Loss'!E4/SUM('Balance Sheet'!E4:E5),0)</f>
        <v>1.3871810542398777</v>
      </c>
      <c r="G36" s="30">
        <f>IFERROR('Profit &amp; Loss'!F4/SUM('Balance Sheet'!F4:F5),0)</f>
        <v>1.3159225157496299</v>
      </c>
      <c r="H36" s="30">
        <f>IFERROR('Profit &amp; Loss'!G4/SUM('Balance Sheet'!G4:G5),0)</f>
        <v>1.6143463835434639</v>
      </c>
      <c r="I36" s="30">
        <f>IFERROR('Profit &amp; Loss'!H4/SUM('Balance Sheet'!H4:H5),0)</f>
        <v>1.9463312424575967</v>
      </c>
      <c r="J36" s="30">
        <f>IFERROR('Profit &amp; Loss'!I4/SUM('Balance Sheet'!I4:I5),0)</f>
        <v>1.7439511552952927</v>
      </c>
      <c r="K36" s="30">
        <f>IFERROR('Profit &amp; Loss'!J4/SUM('Balance Sheet'!J4:J5),0)</f>
        <v>1.701037383372644</v>
      </c>
      <c r="L36" s="30">
        <f>IFERROR('Profit &amp; Loss'!K4/SUM('Balance Sheet'!K4:K5),0)</f>
        <v>1.9240296385645974</v>
      </c>
      <c r="M36" s="73">
        <f>IFERROR('Profit &amp; Loss'!L4/SUM('Balance Sheet'!L4:L5),0)</f>
        <v>1.9833481229664256</v>
      </c>
      <c r="N36" s="73">
        <f>IFERROR('Profit &amp; Loss'!M4/SUM('Balance Sheet'!M4:M5),0)</f>
        <v>2.0467432570736608</v>
      </c>
      <c r="O36" s="73">
        <f>IFERROR('Profit &amp; Loss'!N4/SUM('Balance Sheet'!N4:N5),0)</f>
        <v>2.1058423230888836</v>
      </c>
      <c r="P36" s="73">
        <f>IFERROR('Profit &amp; Loss'!O4/SUM('Balance Sheet'!O4:O5),0)</f>
        <v>2.1610677037310997</v>
      </c>
      <c r="Q36" s="73">
        <f>IFERROR('Profit &amp; Loss'!P4/SUM('Balance Sheet'!P4:P5),0)</f>
        <v>2.2127881681074175</v>
      </c>
      <c r="T36" s="27"/>
      <c r="U36" s="30">
        <f>IFERROR(AVERAGE(C36:L36),0)</f>
        <v>1.4984762152204707</v>
      </c>
      <c r="V36" s="30">
        <f>IFERROR(MEDIAN(C36:L36),0)</f>
        <v>1.5007637188916707</v>
      </c>
    </row>
    <row r="37" spans="2:22" x14ac:dyDescent="0.3">
      <c r="M37" s="72"/>
      <c r="N37" s="72"/>
      <c r="O37" s="72"/>
      <c r="P37" s="72"/>
      <c r="Q37" s="72"/>
      <c r="T37" s="22"/>
      <c r="U37" s="23"/>
      <c r="V37" s="23"/>
    </row>
    <row r="38" spans="2:22" x14ac:dyDescent="0.3">
      <c r="M38" s="72"/>
      <c r="N38" s="72"/>
      <c r="O38" s="72"/>
      <c r="P38" s="72"/>
      <c r="Q38" s="72"/>
      <c r="T38" s="22"/>
      <c r="U38" s="23"/>
      <c r="V38" s="23"/>
    </row>
    <row r="39" spans="2:22" x14ac:dyDescent="0.3">
      <c r="B39" s="38" t="s">
        <v>106</v>
      </c>
      <c r="C39" s="24">
        <f>IFERROR(365/C32,0)</f>
        <v>65.672711874306415</v>
      </c>
      <c r="D39" s="24">
        <f t="shared" ref="D39:Q39" si="3">IFERROR(365/D32,0)</f>
        <v>68.018916082924477</v>
      </c>
      <c r="E39" s="24">
        <f t="shared" si="3"/>
        <v>65.459389174478375</v>
      </c>
      <c r="F39" s="24">
        <f t="shared" si="3"/>
        <v>74.321849081957467</v>
      </c>
      <c r="G39" s="24">
        <f t="shared" si="3"/>
        <v>70.092264511505689</v>
      </c>
      <c r="H39" s="24">
        <f t="shared" si="3"/>
        <v>68.108368066688044</v>
      </c>
      <c r="I39" s="24">
        <f t="shared" si="3"/>
        <v>63.227837320378555</v>
      </c>
      <c r="J39" s="24">
        <f t="shared" si="3"/>
        <v>71.715006182078483</v>
      </c>
      <c r="K39" s="24">
        <f t="shared" si="3"/>
        <v>69.775262286029815</v>
      </c>
      <c r="L39" s="24">
        <f t="shared" si="3"/>
        <v>71.986621886369988</v>
      </c>
      <c r="M39" s="76">
        <f t="shared" si="3"/>
        <v>0</v>
      </c>
      <c r="N39" s="76">
        <f t="shared" si="3"/>
        <v>0</v>
      </c>
      <c r="O39" s="76">
        <f t="shared" si="3"/>
        <v>0</v>
      </c>
      <c r="P39" s="76">
        <f t="shared" si="3"/>
        <v>0</v>
      </c>
      <c r="Q39" s="76">
        <f t="shared" si="3"/>
        <v>0</v>
      </c>
      <c r="T39" s="24"/>
      <c r="U39" s="31">
        <f>IFERROR(AVERAGE(C39:L39),0)</f>
        <v>68.837822646671739</v>
      </c>
      <c r="V39" s="31">
        <f>IFERROR(MEDIAN(C39:L39),0)</f>
        <v>68.941815176358929</v>
      </c>
    </row>
    <row r="40" spans="2:22" x14ac:dyDescent="0.3">
      <c r="B40" s="36" t="s">
        <v>107</v>
      </c>
      <c r="C40" s="33">
        <f t="shared" ref="C40:Q41" si="4">IFERROR(365/C33,0)</f>
        <v>75.50070089363939</v>
      </c>
      <c r="D40" s="33">
        <f t="shared" si="4"/>
        <v>74.664501857576354</v>
      </c>
      <c r="E40" s="33">
        <f t="shared" si="4"/>
        <v>84.403628666465067</v>
      </c>
      <c r="F40" s="33">
        <f t="shared" si="4"/>
        <v>87.307167009945914</v>
      </c>
      <c r="G40" s="33">
        <f t="shared" si="4"/>
        <v>93.854755553786134</v>
      </c>
      <c r="H40" s="33">
        <f t="shared" si="4"/>
        <v>107.73772823307931</v>
      </c>
      <c r="I40" s="33">
        <f t="shared" si="4"/>
        <v>101.69077517425579</v>
      </c>
      <c r="J40" s="33">
        <f t="shared" si="4"/>
        <v>93.928060128847534</v>
      </c>
      <c r="K40" s="33">
        <f t="shared" si="4"/>
        <v>97.973802073746867</v>
      </c>
      <c r="L40" s="33">
        <f t="shared" si="4"/>
        <v>106.77246011754828</v>
      </c>
      <c r="M40" s="75">
        <f t="shared" si="4"/>
        <v>104.82479255458067</v>
      </c>
      <c r="N40" s="75">
        <f t="shared" si="4"/>
        <v>105.81263646686187</v>
      </c>
      <c r="O40" s="75">
        <f t="shared" si="4"/>
        <v>106.67996996499048</v>
      </c>
      <c r="P40" s="75">
        <f t="shared" si="4"/>
        <v>107.44757747619907</v>
      </c>
      <c r="Q40" s="75">
        <f t="shared" si="4"/>
        <v>108.13172368187008</v>
      </c>
      <c r="T40" s="22"/>
      <c r="U40" s="33">
        <f>IFERROR(AVERAGE(C40:L40),0)</f>
        <v>92.38335797088908</v>
      </c>
      <c r="V40" s="33">
        <f>IFERROR(MEDIAN(C40:L40),0)</f>
        <v>93.891407841316834</v>
      </c>
    </row>
    <row r="41" spans="2:22" x14ac:dyDescent="0.3">
      <c r="B41" s="36" t="s">
        <v>108</v>
      </c>
      <c r="C41" s="22">
        <f t="shared" si="4"/>
        <v>0</v>
      </c>
      <c r="D41" s="22">
        <f t="shared" si="4"/>
        <v>0</v>
      </c>
      <c r="E41" s="22">
        <f t="shared" si="4"/>
        <v>0</v>
      </c>
      <c r="F41" s="22">
        <f t="shared" si="4"/>
        <v>0</v>
      </c>
      <c r="G41" s="22">
        <f t="shared" si="4"/>
        <v>0</v>
      </c>
      <c r="H41" s="22">
        <f t="shared" si="4"/>
        <v>0</v>
      </c>
      <c r="I41" s="22">
        <f t="shared" si="4"/>
        <v>0</v>
      </c>
      <c r="J41" s="22">
        <f t="shared" si="4"/>
        <v>0</v>
      </c>
      <c r="K41" s="22">
        <f t="shared" si="4"/>
        <v>0</v>
      </c>
      <c r="L41" s="22">
        <f t="shared" si="4"/>
        <v>0</v>
      </c>
      <c r="M41" s="72">
        <f t="shared" si="4"/>
        <v>0</v>
      </c>
      <c r="N41" s="72">
        <f t="shared" si="4"/>
        <v>0</v>
      </c>
      <c r="O41" s="72">
        <f t="shared" si="4"/>
        <v>0</v>
      </c>
      <c r="P41" s="72">
        <f t="shared" si="4"/>
        <v>0</v>
      </c>
      <c r="Q41" s="72">
        <f t="shared" si="4"/>
        <v>0</v>
      </c>
      <c r="T41" s="22"/>
      <c r="U41" s="33">
        <f>IFERROR(AVERAGE(C41:L41),0)</f>
        <v>0</v>
      </c>
      <c r="V41" s="33">
        <f>IFERROR(MEDIAN(C41:L41),0)</f>
        <v>0</v>
      </c>
    </row>
    <row r="42" spans="2:22" x14ac:dyDescent="0.3">
      <c r="B42" s="39" t="s">
        <v>109</v>
      </c>
      <c r="C42" s="34">
        <f>SUM(C39+C41)-C40</f>
        <v>-9.8279890193329749</v>
      </c>
      <c r="D42" s="34">
        <f t="shared" ref="D42:Q42" si="5">SUM(D39+D41)-D40</f>
        <v>-6.6455857746518774</v>
      </c>
      <c r="E42" s="34">
        <f t="shared" si="5"/>
        <v>-18.944239491986693</v>
      </c>
      <c r="F42" s="34">
        <f t="shared" si="5"/>
        <v>-12.985317927988447</v>
      </c>
      <c r="G42" s="34">
        <f t="shared" si="5"/>
        <v>-23.762491042280445</v>
      </c>
      <c r="H42" s="34">
        <f t="shared" si="5"/>
        <v>-39.629360166391265</v>
      </c>
      <c r="I42" s="34">
        <f t="shared" si="5"/>
        <v>-38.462937853877236</v>
      </c>
      <c r="J42" s="34">
        <f t="shared" si="5"/>
        <v>-22.213053946769051</v>
      </c>
      <c r="K42" s="34">
        <f t="shared" si="5"/>
        <v>-28.198539787717053</v>
      </c>
      <c r="L42" s="34">
        <f t="shared" si="5"/>
        <v>-34.785838231178289</v>
      </c>
      <c r="M42" s="77">
        <f t="shared" si="5"/>
        <v>-104.82479255458067</v>
      </c>
      <c r="N42" s="77">
        <f t="shared" si="5"/>
        <v>-105.81263646686187</v>
      </c>
      <c r="O42" s="77">
        <f t="shared" si="5"/>
        <v>-106.67996996499048</v>
      </c>
      <c r="P42" s="77">
        <f t="shared" si="5"/>
        <v>-107.44757747619907</v>
      </c>
      <c r="Q42" s="77">
        <f t="shared" si="5"/>
        <v>-108.13172368187008</v>
      </c>
      <c r="T42" s="27"/>
      <c r="U42" s="34">
        <f>IFERROR(AVERAGE(C42:L42),0)</f>
        <v>-23.545535324217333</v>
      </c>
      <c r="V42" s="34">
        <f>IFERROR(MEDIAN(C42:L42),0)</f>
        <v>-22.987772494524748</v>
      </c>
    </row>
    <row r="43" spans="2:22" x14ac:dyDescent="0.3">
      <c r="M43" s="72"/>
      <c r="N43" s="72"/>
      <c r="O43" s="72"/>
      <c r="P43" s="72"/>
      <c r="Q43" s="72"/>
      <c r="T43" s="22"/>
      <c r="U43" s="23"/>
      <c r="V43" s="23"/>
    </row>
    <row r="44" spans="2:22" x14ac:dyDescent="0.3">
      <c r="M44" s="72"/>
      <c r="N44" s="72"/>
      <c r="O44" s="72"/>
      <c r="P44" s="72"/>
      <c r="Q44" s="72"/>
      <c r="T44" s="22"/>
      <c r="U44" s="23"/>
      <c r="V44" s="23"/>
    </row>
    <row r="45" spans="2:22" x14ac:dyDescent="0.3">
      <c r="B45" s="38" t="s">
        <v>110</v>
      </c>
      <c r="C45" s="35">
        <f>IFERROR('Cash Flow'!B5/'Profit &amp; Loss'!B4,0)</f>
        <v>0.16837509491268032</v>
      </c>
      <c r="D45" s="35">
        <f>IFERROR('Cash Flow'!C5/'Profit &amp; Loss'!C4,0)</f>
        <v>0.18743087263548963</v>
      </c>
      <c r="E45" s="35">
        <f>IFERROR('Cash Flow'!D5/'Profit &amp; Loss'!D4,0)</f>
        <v>0.179510130027215</v>
      </c>
      <c r="F45" s="35">
        <f>IFERROR('Cash Flow'!E5/'Profit &amp; Loss'!E4,0)</f>
        <v>0.18727627187716844</v>
      </c>
      <c r="G45" s="35">
        <f>IFERROR('Cash Flow'!F5/'Profit &amp; Loss'!F4,0)</f>
        <v>0.23114897682936539</v>
      </c>
      <c r="H45" s="35">
        <f>IFERROR('Cash Flow'!G5/'Profit &amp; Loss'!G4,0)</f>
        <v>0.1963564916434426</v>
      </c>
      <c r="I45" s="35">
        <f>IFERROR('Cash Flow'!H5/'Profit &amp; Loss'!H4,0)</f>
        <v>0.15307937070322347</v>
      </c>
      <c r="J45" s="35">
        <f>IFERROR('Cash Flow'!I5/'Profit &amp; Loss'!I4,0)</f>
        <v>0.16405284050237523</v>
      </c>
      <c r="K45" s="35">
        <f>IFERROR('Cash Flow'!J5/'Profit &amp; Loss'!J4,0)</f>
        <v>0.21899503036996135</v>
      </c>
      <c r="L45" s="35">
        <f>IFERROR('Cash Flow'!K5/'Profit &amp; Loss'!K4,0)</f>
        <v>0.19023789532605653</v>
      </c>
      <c r="M45" s="78">
        <f>IFERROR('Cash Flow'!L5/'Profit &amp; Loss'!L4,0)</f>
        <v>0.19106158981156093</v>
      </c>
      <c r="N45" s="78">
        <f>IFERROR('Cash Flow'!M5/'Profit &amp; Loss'!M4,0)</f>
        <v>0.19139690524136316</v>
      </c>
      <c r="O45" s="78">
        <f>IFERROR('Cash Flow'!N5/'Profit &amp; Loss'!N4,0)</f>
        <v>0.19169131440974604</v>
      </c>
      <c r="P45" s="78">
        <f>IFERROR('Cash Flow'!O5/'Profit &amp; Loss'!O4,0)</f>
        <v>0.19195187241829406</v>
      </c>
      <c r="Q45" s="78">
        <f>IFERROR('Cash Flow'!P5/'Profit &amp; Loss'!P4,0)</f>
        <v>0.19218410017831777</v>
      </c>
      <c r="T45" s="24"/>
      <c r="U45" s="35">
        <f>IFERROR(AVERAGE(C45:L45),0)</f>
        <v>0.18764629748269779</v>
      </c>
      <c r="V45" s="35">
        <f>IFERROR(MEDIAN(C45:L45),0)</f>
        <v>0.18735357225632904</v>
      </c>
    </row>
    <row r="46" spans="2:22" x14ac:dyDescent="0.3">
      <c r="B46" s="36" t="s">
        <v>111</v>
      </c>
      <c r="C46" s="32">
        <f>IFERROR('Cash Flow'!B5/'Balance Sheet'!B19,0)</f>
        <v>0.32995679171316566</v>
      </c>
      <c r="D46" s="32">
        <f>IFERROR('Cash Flow'!C5/'Balance Sheet'!C19,0)</f>
        <v>0.40103155339805824</v>
      </c>
      <c r="E46" s="32">
        <f>IFERROR('Cash Flow'!D5/'Balance Sheet'!D19,0)</f>
        <v>0.43148713475795902</v>
      </c>
      <c r="F46" s="32">
        <f>IFERROR('Cash Flow'!E5/'Balance Sheet'!E19,0)</f>
        <v>0.45785760448082724</v>
      </c>
      <c r="G46" s="32">
        <f>IFERROR('Cash Flow'!F5/'Balance Sheet'!F19,0)</f>
        <v>0.52772223232139615</v>
      </c>
      <c r="H46" s="32">
        <f>IFERROR('Cash Flow'!G5/'Balance Sheet'!G19,0)</f>
        <v>0.59459795867562859</v>
      </c>
      <c r="I46" s="32">
        <f>IFERROR('Cash Flow'!H5/'Balance Sheet'!H19,0)</f>
        <v>0.59757427454318168</v>
      </c>
      <c r="J46" s="32">
        <f>IFERROR('Cash Flow'!I5/'Balance Sheet'!I19,0)</f>
        <v>0.56048378132017163</v>
      </c>
      <c r="K46" s="32">
        <f>IFERROR('Cash Flow'!J5/'Balance Sheet'!J19,0)</f>
        <v>0.64182834948663081</v>
      </c>
      <c r="L46" s="32">
        <f>IFERROR('Cash Flow'!K5/'Balance Sheet'!K19,0)</f>
        <v>0.59172978149212152</v>
      </c>
      <c r="M46" s="47">
        <f>IFERROR('Cash Flow'!L5/'Balance Sheet'!L19,0)</f>
        <v>1.9235345742149916</v>
      </c>
      <c r="N46" s="47">
        <f>IFERROR('Cash Flow'!M5/'Balance Sheet'!M19,0)</f>
        <v>2.0753639219674898</v>
      </c>
      <c r="O46" s="47">
        <f>IFERROR('Cash Flow'!N5/'Balance Sheet'!N19,0)</f>
        <v>2.2293581022781677</v>
      </c>
      <c r="P46" s="47">
        <f>IFERROR('Cash Flow'!O5/'Balance Sheet'!O19,0)</f>
        <v>2.3855637479370846</v>
      </c>
      <c r="Q46" s="47">
        <f>IFERROR('Cash Flow'!P5/'Balance Sheet'!P19,0)</f>
        <v>2.5440288407806269</v>
      </c>
      <c r="T46" s="22"/>
      <c r="U46" s="32">
        <f>IFERROR(AVERAGE(C46:L46),0)</f>
        <v>0.51342694621891405</v>
      </c>
      <c r="V46" s="32">
        <f>IFERROR(MEDIAN(C46:L46),0)</f>
        <v>0.54410300682078394</v>
      </c>
    </row>
    <row r="47" spans="2:22" x14ac:dyDescent="0.3">
      <c r="B47" s="39" t="s">
        <v>112</v>
      </c>
      <c r="C47" s="30">
        <f>IFERROR('Cash Flow'!B5/'Balance Sheet'!B6,0)</f>
        <v>0</v>
      </c>
      <c r="D47" s="30">
        <f>IFERROR('Cash Flow'!C5/'Balance Sheet'!C6,0)</f>
        <v>0</v>
      </c>
      <c r="E47" s="30">
        <f>IFERROR('Cash Flow'!D5/'Balance Sheet'!D6,0)</f>
        <v>0</v>
      </c>
      <c r="F47" s="30">
        <f>IFERROR('Cash Flow'!E5/'Balance Sheet'!E6,0)</f>
        <v>3.6699762572846968</v>
      </c>
      <c r="G47" s="30">
        <f>IFERROR('Cash Flow'!F5/'Balance Sheet'!F6,0)</f>
        <v>4.36131455399061</v>
      </c>
      <c r="H47" s="30">
        <f>IFERROR('Cash Flow'!G5/'Balance Sheet'!G6,0)</f>
        <v>4.3633540372670812</v>
      </c>
      <c r="I47" s="30">
        <f>IFERROR('Cash Flow'!H5/'Balance Sheet'!H6,0)</f>
        <v>2.7071936377876851</v>
      </c>
      <c r="J47" s="30">
        <f>IFERROR('Cash Flow'!I5/'Balance Sheet'!I6,0)</f>
        <v>3.0159109941380549</v>
      </c>
      <c r="K47" s="30">
        <f>IFERROR('Cash Flow'!J5/'Balance Sheet'!J6,0)</f>
        <v>4.3386410599246386</v>
      </c>
      <c r="L47" s="30">
        <f>IFERROR('Cash Flow'!K5/'Balance Sheet'!K6,0)</f>
        <v>3.7037925021795988</v>
      </c>
      <c r="M47" s="73">
        <f>IFERROR('Cash Flow'!L5/'Balance Sheet'!L6,0)</f>
        <v>3.1953195899225397</v>
      </c>
      <c r="N47" s="73">
        <f>IFERROR('Cash Flow'!M5/'Balance Sheet'!M6,0)</f>
        <v>3.1042240822595111</v>
      </c>
      <c r="O47" s="73">
        <f>IFERROR('Cash Flow'!N5/'Balance Sheet'!N6,0)</f>
        <v>3.0286622896189273</v>
      </c>
      <c r="P47" s="73">
        <f>IFERROR('Cash Flow'!O5/'Balance Sheet'!O6,0)</f>
        <v>2.9649731175796714</v>
      </c>
      <c r="Q47" s="73">
        <f>IFERROR('Cash Flow'!P5/'Balance Sheet'!P6,0)</f>
        <v>2.9105621661215735</v>
      </c>
      <c r="T47" s="27"/>
      <c r="U47" s="30">
        <f>IFERROR(AVERAGE(C47:L47),0)</f>
        <v>2.6160183042572367</v>
      </c>
      <c r="V47" s="30">
        <f>IFERROR(MEDIAN(C47:L47),0)</f>
        <v>3.342943625711376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3F98AE7C-6A89-49FA-8C30-2B25DE14DF3A}">
          <x14:colorSeries theme="1"/>
          <x14:colorNegative rgb="FFD00000"/>
          <x14:colorAxis rgb="FF000000"/>
          <x14:colorMarkers theme="0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T11</xm:sqref>
            </x14:sparkline>
            <x14:sparkline>
              <xm:f>'RATIO ANALYSIS'!C12:L12</xm:f>
              <xm:sqref>T12</xm:sqref>
            </x14:sparkline>
            <x14:sparkline>
              <xm:f>'RATIO ANALYSIS'!C13:L13</xm:f>
              <xm:sqref>T13</xm:sqref>
            </x14:sparkline>
            <x14:sparkline>
              <xm:f>'RATIO ANALYSIS'!C14:L14</xm:f>
              <xm:sqref>T14</xm:sqref>
            </x14:sparkline>
            <x14:sparkline>
              <xm:f>'RATIO ANALYSIS'!C15:L15</xm:f>
              <xm:sqref>T15</xm:sqref>
            </x14:sparkline>
            <x14:sparkline>
              <xm:f>'RATIO ANALYSIS'!C16:L16</xm:f>
              <xm:sqref>T16</xm:sqref>
            </x14:sparkline>
            <x14:sparkline>
              <xm:f>'RATIO ANALYSIS'!C17:L17</xm:f>
              <xm:sqref>T17</xm:sqref>
            </x14:sparkline>
            <x14:sparkline>
              <xm:f>'RATIO ANALYSIS'!C18:L18</xm:f>
              <xm:sqref>T18</xm:sqref>
            </x14:sparkline>
            <x14:sparkline>
              <xm:f>'RATIO ANALYSIS'!C19:L19</xm:f>
              <xm:sqref>T19</xm:sqref>
            </x14:sparkline>
            <x14:sparkline>
              <xm:f>'RATIO ANALYSIS'!C20:L20</xm:f>
              <xm:sqref>T20</xm:sqref>
            </x14:sparkline>
            <x14:sparkline>
              <xm:f>'RATIO ANALYSIS'!C21:L21</xm:f>
              <xm:sqref>T21</xm:sqref>
            </x14:sparkline>
            <x14:sparkline>
              <xm:f>'RATIO ANALYSIS'!C22:L22</xm:f>
              <xm:sqref>T22</xm:sqref>
            </x14:sparkline>
            <x14:sparkline>
              <xm:f>'RATIO ANALYSIS'!C23:L23</xm:f>
              <xm:sqref>T23</xm:sqref>
            </x14:sparkline>
            <x14:sparkline>
              <xm:f>'RATIO ANALYSIS'!C24:L24</xm:f>
              <xm:sqref>T24</xm:sqref>
            </x14:sparkline>
            <x14:sparkline>
              <xm:f>'RATIO ANALYSIS'!C25:L25</xm:f>
              <xm:sqref>T25</xm:sqref>
            </x14:sparkline>
            <x14:sparkline>
              <xm:f>'RATIO ANALYSIS'!C26:L26</xm:f>
              <xm:sqref>T26</xm:sqref>
            </x14:sparkline>
            <x14:sparkline>
              <xm:f>'RATIO ANALYSIS'!C27:L27</xm:f>
              <xm:sqref>T27</xm:sqref>
            </x14:sparkline>
            <x14:sparkline>
              <xm:f>'RATIO ANALYSIS'!C28:L28</xm:f>
              <xm:sqref>T28</xm:sqref>
            </x14:sparkline>
            <x14:sparkline>
              <xm:f>'RATIO ANALYSIS'!C29:L29</xm:f>
              <xm:sqref>T29</xm:sqref>
            </x14:sparkline>
            <x14:sparkline>
              <xm:f>'RATIO ANALYSIS'!C30:L30</xm:f>
              <xm:sqref>T30</xm:sqref>
            </x14:sparkline>
            <x14:sparkline>
              <xm:f>'RATIO ANALYSIS'!C31:L31</xm:f>
              <xm:sqref>T31</xm:sqref>
            </x14:sparkline>
            <x14:sparkline>
              <xm:f>'RATIO ANALYSIS'!C32:L32</xm:f>
              <xm:sqref>T32</xm:sqref>
            </x14:sparkline>
            <x14:sparkline>
              <xm:f>'RATIO ANALYSIS'!C33:L33</xm:f>
              <xm:sqref>T33</xm:sqref>
            </x14:sparkline>
            <x14:sparkline>
              <xm:f>'RATIO ANALYSIS'!C34:L34</xm:f>
              <xm:sqref>T34</xm:sqref>
            </x14:sparkline>
            <x14:sparkline>
              <xm:f>'RATIO ANALYSIS'!C35:L35</xm:f>
              <xm:sqref>T35</xm:sqref>
            </x14:sparkline>
            <x14:sparkline>
              <xm:f>'RATIO ANALYSIS'!C36:L36</xm:f>
              <xm:sqref>T36</xm:sqref>
            </x14:sparkline>
            <x14:sparkline>
              <xm:f>'RATIO ANALYSIS'!C37:L37</xm:f>
              <xm:sqref>T37</xm:sqref>
            </x14:sparkline>
            <x14:sparkline>
              <xm:f>'RATIO ANALYSIS'!C38:L38</xm:f>
              <xm:sqref>T38</xm:sqref>
            </x14:sparkline>
            <x14:sparkline>
              <xm:f>'RATIO ANALYSIS'!C39:L39</xm:f>
              <xm:sqref>T39</xm:sqref>
            </x14:sparkline>
            <x14:sparkline>
              <xm:f>'RATIO ANALYSIS'!C40:L40</xm:f>
              <xm:sqref>T40</xm:sqref>
            </x14:sparkline>
            <x14:sparkline>
              <xm:f>'RATIO ANALYSIS'!C41:L41</xm:f>
              <xm:sqref>T41</xm:sqref>
            </x14:sparkline>
            <x14:sparkline>
              <xm:f>'RATIO ANALYSIS'!C42:L42</xm:f>
              <xm:sqref>T42</xm:sqref>
            </x14:sparkline>
            <x14:sparkline>
              <xm:f>'RATIO ANALYSIS'!C43:L43</xm:f>
              <xm:sqref>T43</xm:sqref>
            </x14:sparkline>
            <x14:sparkline>
              <xm:f>'RATIO ANALYSIS'!C44:L44</xm:f>
              <xm:sqref>T44</xm:sqref>
            </x14:sparkline>
            <x14:sparkline>
              <xm:f>'RATIO ANALYSIS'!C45:L45</xm:f>
              <xm:sqref>T45</xm:sqref>
            </x14:sparkline>
            <x14:sparkline>
              <xm:f>'RATIO ANALYSIS'!C46:L46</xm:f>
              <xm:sqref>T46</xm:sqref>
            </x14:sparkline>
            <x14:sparkline>
              <xm:f>'RATIO ANALYSIS'!C47:L47</xm:f>
              <xm:sqref>T47</xm:sqref>
            </x14:sparkline>
          </x14:sparklines>
        </x14:sparklineGroup>
        <x14:sparklineGroup displayEmptyCellsAs="gap" markers="1" xr2:uid="{BFA7BF8E-039F-4663-8059-794D1F510143}">
          <x14:colorSeries theme="1"/>
          <x14:colorNegative rgb="FFD00000"/>
          <x14:colorAxis rgb="FF000000"/>
          <x14:colorMarkers theme="0"/>
          <x14:colorFirst rgb="FFD00000"/>
          <x14:colorLast rgb="FFD00000"/>
          <x14:colorHigh rgb="FFD00000"/>
          <x14:colorLow rgb="FFD00000"/>
          <x14:sparklines>
            <x14:sparkline>
              <xm:f>'RATIO ANALYSIS'!D8:L8</xm:f>
              <xm:sqref>T8</xm:sqref>
            </x14:sparkline>
            <x14:sparkline>
              <xm:f>'RATIO ANALYSIS'!D7:L7</xm:f>
              <xm:sqref>T7</xm:sqref>
            </x14:sparkline>
            <x14:sparkline>
              <xm:f>'RATIO ANALYSIS'!D6:L6</xm:f>
              <xm:sqref>T6</xm:sqref>
            </x14:sparkline>
            <x14:sparkline>
              <xm:f>'RATIO ANALYSIS'!D5:L5</xm:f>
              <xm:sqref>T5</xm:sqref>
            </x14:sparkline>
            <x14:sparkline>
              <xm:f>'RATIO ANALYSIS'!D4:L4</xm:f>
              <xm:sqref>T4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9B14-6893-401D-A998-56FCA7EAE24A}">
  <sheetPr>
    <tabColor rgb="FF92D050"/>
  </sheetPr>
  <dimension ref="B1:Q160"/>
  <sheetViews>
    <sheetView showGridLines="0" topLeftCell="B1" zoomScale="68" workbookViewId="0">
      <selection activeCell="B16" sqref="B16"/>
    </sheetView>
  </sheetViews>
  <sheetFormatPr defaultRowHeight="14.4" x14ac:dyDescent="0.3"/>
  <cols>
    <col min="1" max="1" width="4.33203125" customWidth="1"/>
    <col min="2" max="2" width="62.5546875" style="40" customWidth="1"/>
    <col min="3" max="3" width="11.44140625" style="42" customWidth="1"/>
    <col min="4" max="4" width="12.5546875" style="22" customWidth="1"/>
    <col min="5" max="5" width="20.6640625" style="22" customWidth="1"/>
    <col min="7" max="7" width="62.6640625" customWidth="1"/>
    <col min="8" max="8" width="16.77734375" customWidth="1"/>
    <col min="9" max="9" width="14.88671875" customWidth="1"/>
    <col min="10" max="10" width="21.109375" style="22" customWidth="1"/>
    <col min="11" max="11" width="8.88671875" style="22" customWidth="1"/>
    <col min="12" max="12" width="57.5546875" customWidth="1"/>
    <col min="13" max="13" width="12.77734375" customWidth="1"/>
    <col min="14" max="14" width="17.77734375" customWidth="1"/>
    <col min="15" max="15" width="25.33203125" customWidth="1"/>
    <col min="16" max="16" width="12.77734375" style="22" customWidth="1"/>
    <col min="17" max="17" width="14.88671875" style="22" customWidth="1"/>
  </cols>
  <sheetData>
    <row r="1" spans="2:15" ht="31.2" customHeight="1" x14ac:dyDescent="0.3"/>
    <row r="2" spans="2:15" ht="25.8" x14ac:dyDescent="0.5">
      <c r="B2" s="41" t="s">
        <v>118</v>
      </c>
      <c r="G2" s="41" t="s">
        <v>62</v>
      </c>
      <c r="I2" s="22"/>
      <c r="K2"/>
      <c r="L2" s="41" t="s">
        <v>35</v>
      </c>
      <c r="N2" s="22"/>
      <c r="O2" s="22"/>
    </row>
    <row r="3" spans="2:15" x14ac:dyDescent="0.3">
      <c r="I3" s="22"/>
      <c r="K3"/>
      <c r="N3" s="22"/>
      <c r="O3" s="22"/>
    </row>
    <row r="4" spans="2:15" x14ac:dyDescent="0.3">
      <c r="B4" s="8" t="s">
        <v>119</v>
      </c>
      <c r="C4" s="43" t="s">
        <v>120</v>
      </c>
      <c r="D4" s="8" t="s">
        <v>118</v>
      </c>
      <c r="E4" s="8" t="s">
        <v>86</v>
      </c>
      <c r="G4" s="8" t="s">
        <v>119</v>
      </c>
      <c r="H4" s="43" t="s">
        <v>120</v>
      </c>
      <c r="I4" s="8" t="s">
        <v>62</v>
      </c>
      <c r="J4" s="8" t="s">
        <v>87</v>
      </c>
      <c r="K4"/>
      <c r="L4" s="8" t="s">
        <v>119</v>
      </c>
      <c r="M4" s="43" t="s">
        <v>120</v>
      </c>
      <c r="N4" s="8" t="s">
        <v>35</v>
      </c>
      <c r="O4" s="8" t="s">
        <v>121</v>
      </c>
    </row>
    <row r="5" spans="2:15" x14ac:dyDescent="0.3">
      <c r="B5" s="40">
        <v>1</v>
      </c>
      <c r="C5" s="44">
        <f>'Data Sheet'!$B$16</f>
        <v>42825</v>
      </c>
      <c r="D5" s="22">
        <f t="array" ref="D5:D14">TRANSPOSE('Data Sheet'!B17:K17)</f>
        <v>68484</v>
      </c>
      <c r="G5" s="40">
        <v>1</v>
      </c>
      <c r="H5" s="44">
        <f>'Data Sheet'!$B$16</f>
        <v>42825</v>
      </c>
      <c r="I5" s="22">
        <f t="array" ref="I5:I14">TRANSPOSE('Profit &amp; Loss'!B14:K14)</f>
        <v>21654</v>
      </c>
      <c r="K5"/>
      <c r="L5" s="40">
        <v>1</v>
      </c>
      <c r="M5" s="44">
        <f>'Data Sheet'!$B$16</f>
        <v>42825</v>
      </c>
      <c r="N5" s="32">
        <f t="array" ref="N5:N14">TRANSPOSE('Profit &amp; Loss'!B25:K25)</f>
        <v>31.243605650971944</v>
      </c>
      <c r="O5" s="22"/>
    </row>
    <row r="6" spans="2:15" x14ac:dyDescent="0.3">
      <c r="B6" s="40">
        <f>B5+1</f>
        <v>2</v>
      </c>
      <c r="C6" s="44">
        <f>C5+365</f>
        <v>43190</v>
      </c>
      <c r="D6" s="22">
        <v>70522</v>
      </c>
      <c r="E6" s="23">
        <f>IFERROR(D6/D5-1,0)</f>
        <v>2.9758775772443125E-2</v>
      </c>
      <c r="G6" s="40">
        <f>G5+1</f>
        <v>2</v>
      </c>
      <c r="H6" s="44">
        <f>H5+365</f>
        <v>43190</v>
      </c>
      <c r="I6" s="22">
        <v>22133</v>
      </c>
      <c r="J6" s="23">
        <f>IFERROR(I6/I5-1,0)</f>
        <v>2.2120624365013386E-2</v>
      </c>
      <c r="K6"/>
      <c r="L6" s="40">
        <f>L5+1</f>
        <v>2</v>
      </c>
      <c r="M6" s="44">
        <f>M5+365</f>
        <v>43190</v>
      </c>
      <c r="N6" s="32">
        <v>36.694748408955633</v>
      </c>
      <c r="O6" s="23">
        <f>IFERROR(N6/N5-1,0)</f>
        <v>0.17447226862608001</v>
      </c>
    </row>
    <row r="7" spans="2:15" x14ac:dyDescent="0.3">
      <c r="B7" s="40">
        <f t="shared" ref="B7:B19" si="0">B6+1</f>
        <v>3</v>
      </c>
      <c r="C7" s="44">
        <f t="shared" ref="C7:C19" si="1">C6+365</f>
        <v>43555</v>
      </c>
      <c r="D7" s="22">
        <v>82675</v>
      </c>
      <c r="E7" s="23">
        <f t="shared" ref="E7:E19" si="2">IFERROR(D7/D6-1,0)</f>
        <v>0.17232920223476356</v>
      </c>
      <c r="G7" s="40">
        <f t="shared" ref="G7:G19" si="3">G6+1</f>
        <v>3</v>
      </c>
      <c r="H7" s="44">
        <f t="shared" ref="H7:H19" si="4">H6+365</f>
        <v>43555</v>
      </c>
      <c r="I7" s="22">
        <v>23052</v>
      </c>
      <c r="J7" s="23">
        <f t="shared" ref="J7:J19" si="5">IFERROR(I7/I6-1,0)</f>
        <v>4.1521709664302131E-2</v>
      </c>
      <c r="K7"/>
      <c r="L7" s="40">
        <f t="shared" ref="L7:L19" si="6">L6+1</f>
        <v>3</v>
      </c>
      <c r="M7" s="44">
        <f t="shared" ref="M7:M19" si="7">M6+365</f>
        <v>43555</v>
      </c>
      <c r="N7" s="32">
        <v>35.272036439378333</v>
      </c>
      <c r="O7" s="23">
        <f t="shared" ref="O7:O19" si="8">IFERROR(N7/N6-1,0)</f>
        <v>-3.8771541740018511E-2</v>
      </c>
    </row>
    <row r="8" spans="2:15" x14ac:dyDescent="0.3">
      <c r="B8" s="40">
        <f t="shared" si="0"/>
        <v>4</v>
      </c>
      <c r="C8" s="44">
        <f t="shared" si="1"/>
        <v>43920</v>
      </c>
      <c r="D8" s="22">
        <v>90791</v>
      </c>
      <c r="E8" s="23">
        <f t="shared" si="2"/>
        <v>9.8167523435137571E-2</v>
      </c>
      <c r="G8" s="40">
        <f t="shared" si="3"/>
        <v>4</v>
      </c>
      <c r="H8" s="44">
        <f t="shared" si="4"/>
        <v>43920</v>
      </c>
      <c r="I8" s="22">
        <v>25070</v>
      </c>
      <c r="J8" s="23">
        <f t="shared" si="5"/>
        <v>8.7541211174735345E-2</v>
      </c>
      <c r="K8"/>
      <c r="L8" s="40">
        <f t="shared" si="6"/>
        <v>4</v>
      </c>
      <c r="M8" s="44">
        <f t="shared" si="7"/>
        <v>43920</v>
      </c>
      <c r="N8" s="32">
        <v>39.067856304296782</v>
      </c>
      <c r="O8" s="23">
        <f t="shared" si="8"/>
        <v>0.10761555748113061</v>
      </c>
    </row>
    <row r="9" spans="2:15" x14ac:dyDescent="0.3">
      <c r="B9" s="40">
        <f t="shared" si="0"/>
        <v>5</v>
      </c>
      <c r="C9" s="44">
        <f t="shared" si="1"/>
        <v>44285</v>
      </c>
      <c r="D9" s="22">
        <v>100472</v>
      </c>
      <c r="E9" s="23">
        <f t="shared" si="2"/>
        <v>0.10662951173574475</v>
      </c>
      <c r="G9" s="40">
        <f t="shared" si="3"/>
        <v>5</v>
      </c>
      <c r="H9" s="44">
        <f t="shared" si="4"/>
        <v>44285</v>
      </c>
      <c r="I9" s="22">
        <v>30090</v>
      </c>
      <c r="J9" s="23">
        <f t="shared" si="5"/>
        <v>0.20023932987634629</v>
      </c>
      <c r="K9"/>
      <c r="L9" s="40">
        <f t="shared" si="6"/>
        <v>5</v>
      </c>
      <c r="M9" s="44">
        <f t="shared" si="7"/>
        <v>44285</v>
      </c>
      <c r="N9" s="32">
        <v>45.586405989626115</v>
      </c>
      <c r="O9" s="23">
        <f t="shared" si="8"/>
        <v>0.16685199296723141</v>
      </c>
    </row>
    <row r="10" spans="2:15" x14ac:dyDescent="0.3">
      <c r="B10" s="40">
        <f t="shared" si="0"/>
        <v>6</v>
      </c>
      <c r="C10" s="44">
        <f t="shared" si="1"/>
        <v>44650</v>
      </c>
      <c r="D10" s="32">
        <v>121641</v>
      </c>
      <c r="E10" s="23">
        <f t="shared" si="2"/>
        <v>0.21069551715900947</v>
      </c>
      <c r="G10" s="40">
        <f t="shared" si="3"/>
        <v>6</v>
      </c>
      <c r="H10" s="44">
        <f t="shared" si="4"/>
        <v>44650</v>
      </c>
      <c r="I10" s="22">
        <v>33786</v>
      </c>
      <c r="J10" s="23">
        <f t="shared" si="5"/>
        <v>0.12283150548354937</v>
      </c>
      <c r="K10"/>
      <c r="L10" s="40">
        <f t="shared" si="6"/>
        <v>6</v>
      </c>
      <c r="M10" s="44">
        <f t="shared" si="7"/>
        <v>44650</v>
      </c>
      <c r="N10" s="32">
        <v>52.644590771863932</v>
      </c>
      <c r="O10" s="23">
        <f t="shared" si="8"/>
        <v>0.15483091129939086</v>
      </c>
    </row>
    <row r="11" spans="2:15" x14ac:dyDescent="0.3">
      <c r="B11" s="40">
        <f t="shared" si="0"/>
        <v>7</v>
      </c>
      <c r="C11" s="44">
        <f t="shared" si="1"/>
        <v>45015</v>
      </c>
      <c r="D11" s="22">
        <v>146767</v>
      </c>
      <c r="E11" s="23">
        <f t="shared" si="2"/>
        <v>0.20655864387829759</v>
      </c>
      <c r="G11" s="40">
        <f t="shared" si="3"/>
        <v>7</v>
      </c>
      <c r="H11" s="44">
        <f t="shared" si="4"/>
        <v>45015</v>
      </c>
      <c r="I11" s="22">
        <v>37831</v>
      </c>
      <c r="J11" s="23">
        <f t="shared" si="5"/>
        <v>0.11972414609601612</v>
      </c>
      <c r="K11"/>
      <c r="L11" s="40">
        <f t="shared" si="6"/>
        <v>7</v>
      </c>
      <c r="M11" s="44">
        <f t="shared" si="7"/>
        <v>45015</v>
      </c>
      <c r="N11" s="32">
        <v>58.11117003326423</v>
      </c>
      <c r="O11" s="23">
        <f t="shared" si="8"/>
        <v>0.10383933432192105</v>
      </c>
    </row>
    <row r="12" spans="2:15" x14ac:dyDescent="0.3">
      <c r="B12" s="40">
        <f t="shared" si="0"/>
        <v>8</v>
      </c>
      <c r="C12" s="44">
        <f t="shared" si="1"/>
        <v>45380</v>
      </c>
      <c r="D12" s="22">
        <v>153670</v>
      </c>
      <c r="E12" s="23">
        <f t="shared" si="2"/>
        <v>4.7033733741236095E-2</v>
      </c>
      <c r="G12" s="40">
        <f t="shared" si="3"/>
        <v>8</v>
      </c>
      <c r="H12" s="44">
        <f t="shared" si="4"/>
        <v>45380</v>
      </c>
      <c r="I12" s="22">
        <v>41136</v>
      </c>
      <c r="J12" s="23">
        <f t="shared" si="5"/>
        <v>8.7362216171922524E-2</v>
      </c>
      <c r="K12"/>
      <c r="L12" s="40">
        <f t="shared" si="6"/>
        <v>8</v>
      </c>
      <c r="M12" s="44">
        <f t="shared" si="7"/>
        <v>45380</v>
      </c>
      <c r="N12" s="32">
        <v>63.234479269556005</v>
      </c>
      <c r="O12" s="23">
        <f t="shared" si="8"/>
        <v>8.8163931880205881E-2</v>
      </c>
    </row>
    <row r="13" spans="2:15" x14ac:dyDescent="0.3">
      <c r="B13" s="40">
        <f t="shared" si="0"/>
        <v>9</v>
      </c>
      <c r="C13" s="44">
        <f t="shared" si="1"/>
        <v>45745</v>
      </c>
      <c r="D13" s="22">
        <v>162990</v>
      </c>
      <c r="E13" s="23">
        <f t="shared" si="2"/>
        <v>6.0649443612936782E-2</v>
      </c>
      <c r="G13" s="40">
        <f t="shared" si="3"/>
        <v>9</v>
      </c>
      <c r="H13" s="44">
        <f t="shared" si="4"/>
        <v>45745</v>
      </c>
      <c r="I13" s="22">
        <v>42836</v>
      </c>
      <c r="J13" s="23">
        <f t="shared" si="5"/>
        <v>4.132633216647208E-2</v>
      </c>
      <c r="K13"/>
      <c r="L13" s="40">
        <f t="shared" si="6"/>
        <v>9</v>
      </c>
      <c r="M13" s="44">
        <f t="shared" si="7"/>
        <v>45745</v>
      </c>
      <c r="N13" s="32">
        <v>64.406616425492984</v>
      </c>
      <c r="O13" s="23">
        <f t="shared" si="8"/>
        <v>1.8536361324972717E-2</v>
      </c>
    </row>
    <row r="14" spans="2:15" x14ac:dyDescent="0.3">
      <c r="B14" s="40">
        <f t="shared" si="0"/>
        <v>10</v>
      </c>
      <c r="C14" s="44">
        <f t="shared" si="1"/>
        <v>46110</v>
      </c>
      <c r="D14" s="22">
        <v>178650</v>
      </c>
      <c r="E14" s="23">
        <f t="shared" si="2"/>
        <v>9.6079514080618544E-2</v>
      </c>
      <c r="G14" s="40">
        <f t="shared" si="3"/>
        <v>10</v>
      </c>
      <c r="H14" s="44">
        <f t="shared" si="4"/>
        <v>46110</v>
      </c>
      <c r="I14" s="32">
        <v>45313</v>
      </c>
      <c r="J14" s="23">
        <f t="shared" si="5"/>
        <v>5.7825193762256033E-2</v>
      </c>
      <c r="K14"/>
      <c r="L14" s="40">
        <f t="shared" si="6"/>
        <v>10</v>
      </c>
      <c r="M14" s="44">
        <f t="shared" si="7"/>
        <v>46110</v>
      </c>
      <c r="N14" s="32">
        <v>72.674820001972577</v>
      </c>
      <c r="O14" s="23">
        <f t="shared" si="8"/>
        <v>0.12837506509978569</v>
      </c>
    </row>
    <row r="15" spans="2:15" x14ac:dyDescent="0.3">
      <c r="B15" s="45">
        <f t="shared" si="0"/>
        <v>11</v>
      </c>
      <c r="C15" s="46">
        <f t="shared" si="1"/>
        <v>46475</v>
      </c>
      <c r="D15" s="47">
        <f>FORECAST(B15,$D$5:$D$14,$B$5:$B$14)</f>
        <v>190427.6</v>
      </c>
      <c r="E15" s="48">
        <f t="shared" si="2"/>
        <v>6.592555275678702E-2</v>
      </c>
      <c r="G15" s="45">
        <f t="shared" si="3"/>
        <v>11</v>
      </c>
      <c r="H15" s="46">
        <f t="shared" si="4"/>
        <v>46475</v>
      </c>
      <c r="I15" s="47">
        <f t="array" ref="I15">FORECAST(G15,$I$5:$I$14,$G$5:$G$14)</f>
        <v>48631.799999999996</v>
      </c>
      <c r="J15" s="48">
        <f t="shared" si="5"/>
        <v>7.3241674574625382E-2</v>
      </c>
      <c r="K15"/>
      <c r="L15" s="45">
        <f t="shared" si="6"/>
        <v>11</v>
      </c>
      <c r="M15" s="46">
        <f t="shared" si="7"/>
        <v>46475</v>
      </c>
      <c r="N15" s="47">
        <f>FORECAST(L15,$N$5:$N$14,$L$5:$L$14)</f>
        <v>75.589111109364381</v>
      </c>
      <c r="O15" s="48">
        <f t="shared" si="8"/>
        <v>4.0100424153960201E-2</v>
      </c>
    </row>
    <row r="16" spans="2:15" x14ac:dyDescent="0.3">
      <c r="B16" s="45">
        <f t="shared" si="0"/>
        <v>12</v>
      </c>
      <c r="C16" s="46">
        <f t="shared" si="1"/>
        <v>46840</v>
      </c>
      <c r="D16" s="47">
        <f t="shared" ref="D16:D19" si="9">FORECAST(B16,$D$5:$D$14,$B$5:$B$14)</f>
        <v>203656.94545454544</v>
      </c>
      <c r="E16" s="48">
        <f t="shared" si="2"/>
        <v>6.947178588894376E-2</v>
      </c>
      <c r="G16" s="45">
        <f t="shared" si="3"/>
        <v>12</v>
      </c>
      <c r="H16" s="46">
        <f t="shared" si="4"/>
        <v>46840</v>
      </c>
      <c r="I16" s="47">
        <f t="array" ref="I16">FORECAST(G16,$I$5:$I$14,$G$5:$G$14)</f>
        <v>51603.018181818181</v>
      </c>
      <c r="J16" s="48">
        <f t="shared" si="5"/>
        <v>6.1096200054659322E-2</v>
      </c>
      <c r="K16"/>
      <c r="L16" s="45">
        <f t="shared" si="6"/>
        <v>12</v>
      </c>
      <c r="M16" s="46">
        <f t="shared" si="7"/>
        <v>46840</v>
      </c>
      <c r="N16" s="47">
        <f>FORECAST(L16,$N$5:$N$14,$L$5:$L$14)</f>
        <v>80.261016232969197</v>
      </c>
      <c r="O16" s="48">
        <f t="shared" si="8"/>
        <v>6.1806589005199086E-2</v>
      </c>
    </row>
    <row r="17" spans="2:15" x14ac:dyDescent="0.3">
      <c r="B17" s="45">
        <f t="shared" si="0"/>
        <v>13</v>
      </c>
      <c r="C17" s="46">
        <f t="shared" si="1"/>
        <v>47205</v>
      </c>
      <c r="D17" s="47">
        <f t="shared" si="9"/>
        <v>216886.29090909089</v>
      </c>
      <c r="E17" s="48">
        <f t="shared" si="2"/>
        <v>6.4958970218367273E-2</v>
      </c>
      <c r="G17" s="45">
        <f t="shared" si="3"/>
        <v>13</v>
      </c>
      <c r="H17" s="46">
        <f t="shared" si="4"/>
        <v>47205</v>
      </c>
      <c r="I17" s="47">
        <f t="array" ref="I17">FORECAST(G17,$I$5:$I$14,$G$5:$G$14)</f>
        <v>54574.236363636366</v>
      </c>
      <c r="J17" s="48">
        <f t="shared" si="5"/>
        <v>5.7578379841066507E-2</v>
      </c>
      <c r="K17"/>
      <c r="L17" s="45">
        <f t="shared" si="6"/>
        <v>13</v>
      </c>
      <c r="M17" s="46">
        <f t="shared" si="7"/>
        <v>47205</v>
      </c>
      <c r="N17" s="47">
        <f>FORECAST(L17,$N$5:$N$14,$L$5:$L$14)</f>
        <v>84.932921356574028</v>
      </c>
      <c r="O17" s="48">
        <f t="shared" si="8"/>
        <v>5.8208895711511444E-2</v>
      </c>
    </row>
    <row r="18" spans="2:15" x14ac:dyDescent="0.3">
      <c r="B18" s="45">
        <f t="shared" si="0"/>
        <v>14</v>
      </c>
      <c r="C18" s="46">
        <f t="shared" si="1"/>
        <v>47570</v>
      </c>
      <c r="D18" s="47">
        <f t="shared" si="9"/>
        <v>230115.63636363635</v>
      </c>
      <c r="E18" s="48">
        <f t="shared" si="2"/>
        <v>6.099668816822823E-2</v>
      </c>
      <c r="G18" s="45">
        <f t="shared" si="3"/>
        <v>14</v>
      </c>
      <c r="H18" s="46">
        <f t="shared" si="4"/>
        <v>47570</v>
      </c>
      <c r="I18" s="47">
        <f t="array" ref="I18">FORECAST(G18,$I$5:$I$14,$G$5:$G$14)</f>
        <v>57545.454545454544</v>
      </c>
      <c r="J18" s="48">
        <f t="shared" si="5"/>
        <v>5.4443605257625594E-2</v>
      </c>
      <c r="K18"/>
      <c r="L18" s="45">
        <f t="shared" si="6"/>
        <v>14</v>
      </c>
      <c r="M18" s="46">
        <f t="shared" si="7"/>
        <v>47570</v>
      </c>
      <c r="N18" s="47">
        <f>FORECAST(L18,$N$5:$N$14,$L$5:$L$14)</f>
        <v>89.604826480178843</v>
      </c>
      <c r="O18" s="48">
        <f t="shared" si="8"/>
        <v>5.5006999040934312E-2</v>
      </c>
    </row>
    <row r="19" spans="2:15" x14ac:dyDescent="0.3">
      <c r="B19" s="45">
        <f t="shared" si="0"/>
        <v>15</v>
      </c>
      <c r="C19" s="46">
        <f t="shared" si="1"/>
        <v>47935</v>
      </c>
      <c r="D19" s="47">
        <f t="shared" si="9"/>
        <v>243344.98181818181</v>
      </c>
      <c r="E19" s="48">
        <f t="shared" si="2"/>
        <v>5.748998922280979E-2</v>
      </c>
      <c r="G19" s="45">
        <f t="shared" si="3"/>
        <v>15</v>
      </c>
      <c r="H19" s="46">
        <f t="shared" si="4"/>
        <v>47935</v>
      </c>
      <c r="I19" s="47">
        <f t="array" ref="I19">FORECAST(G19,$I$5:$I$14,$G$5:$G$14)</f>
        <v>60516.672727272722</v>
      </c>
      <c r="J19" s="48">
        <f t="shared" si="5"/>
        <v>5.1632543443917767E-2</v>
      </c>
      <c r="K19"/>
      <c r="L19" s="45">
        <f t="shared" si="6"/>
        <v>15</v>
      </c>
      <c r="M19" s="46">
        <f t="shared" si="7"/>
        <v>47935</v>
      </c>
      <c r="N19" s="47">
        <f>FORECAST(L19,$N$5:$N$14,$L$5:$L$14)</f>
        <v>94.276731603783659</v>
      </c>
      <c r="O19" s="48">
        <f t="shared" si="8"/>
        <v>5.2138989685318604E-2</v>
      </c>
    </row>
    <row r="23" spans="2:15" ht="25.8" x14ac:dyDescent="0.5">
      <c r="B23" s="41" t="s">
        <v>122</v>
      </c>
      <c r="G23" s="41" t="s">
        <v>126</v>
      </c>
      <c r="L23" s="41" t="s">
        <v>61</v>
      </c>
      <c r="N23" s="22"/>
      <c r="O23" s="22"/>
    </row>
    <row r="24" spans="2:15" x14ac:dyDescent="0.3">
      <c r="N24" s="22"/>
      <c r="O24" s="22"/>
    </row>
    <row r="25" spans="2:15" x14ac:dyDescent="0.3">
      <c r="B25" s="8" t="s">
        <v>119</v>
      </c>
      <c r="C25" s="43" t="s">
        <v>120</v>
      </c>
      <c r="D25" s="8" t="s">
        <v>122</v>
      </c>
      <c r="E25" s="8" t="s">
        <v>123</v>
      </c>
      <c r="G25" s="8" t="s">
        <v>119</v>
      </c>
      <c r="H25" s="43" t="s">
        <v>120</v>
      </c>
      <c r="I25" s="8" t="s">
        <v>124</v>
      </c>
      <c r="J25" s="8" t="s">
        <v>125</v>
      </c>
      <c r="L25" s="8" t="s">
        <v>119</v>
      </c>
      <c r="M25" s="43" t="s">
        <v>120</v>
      </c>
      <c r="N25" s="8" t="s">
        <v>61</v>
      </c>
      <c r="O25" s="8" t="s">
        <v>127</v>
      </c>
    </row>
    <row r="26" spans="2:15" x14ac:dyDescent="0.3">
      <c r="B26" s="40">
        <v>1</v>
      </c>
      <c r="C26" s="44">
        <f>'Data Sheet'!$B$16</f>
        <v>42825</v>
      </c>
      <c r="D26" s="32">
        <f t="array" ref="D26:D35">TRANSPOSE('Profit &amp; Loss'!B6:K6)</f>
        <v>44609</v>
      </c>
      <c r="G26" s="40">
        <v>1</v>
      </c>
      <c r="H26" s="44">
        <f>'Data Sheet'!$B$16</f>
        <v>42825</v>
      </c>
      <c r="I26" s="32">
        <f t="array" ref="I26:I35">TRANSPOSE('Profit &amp; Loss'!B9:K9)</f>
        <v>3050</v>
      </c>
      <c r="L26" s="40">
        <v>1</v>
      </c>
      <c r="M26" s="44">
        <f>'Data Sheet'!$B$16</f>
        <v>42825</v>
      </c>
      <c r="N26" s="32">
        <f t="array" ref="N26:N35">TRANSPOSE('Profit &amp; Loss'!B12:K12)</f>
        <v>5271</v>
      </c>
      <c r="O26" s="22"/>
    </row>
    <row r="27" spans="2:15" x14ac:dyDescent="0.3">
      <c r="B27" s="40">
        <f>B26+1</f>
        <v>2</v>
      </c>
      <c r="C27" s="44">
        <f>C26+365</f>
        <v>43190</v>
      </c>
      <c r="D27" s="32">
        <v>46395</v>
      </c>
      <c r="E27" s="23">
        <f>IFERROR(D27/D26-1,0)</f>
        <v>4.0036763881727833E-2</v>
      </c>
      <c r="G27" s="40">
        <f>G26+1</f>
        <v>2</v>
      </c>
      <c r="H27" s="44">
        <f>H26+365</f>
        <v>43190</v>
      </c>
      <c r="I27" s="32">
        <v>3311</v>
      </c>
      <c r="J27" s="23">
        <f>IFERROR(I27/I26-1,0)</f>
        <v>8.5573770491803369E-2</v>
      </c>
      <c r="L27" s="40">
        <f>L26+1</f>
        <v>2</v>
      </c>
      <c r="M27" s="44">
        <f>M26+365</f>
        <v>43190</v>
      </c>
      <c r="N27" s="32">
        <v>5305</v>
      </c>
      <c r="O27" s="23">
        <f>IFERROR(N27/N26-1,0)</f>
        <v>6.4503889205085319E-3</v>
      </c>
    </row>
    <row r="28" spans="2:15" x14ac:dyDescent="0.3">
      <c r="B28" s="40">
        <f t="shared" ref="B28:B40" si="10">B27+1</f>
        <v>3</v>
      </c>
      <c r="C28" s="44">
        <f t="shared" ref="C28:C40" si="11">C27+365</f>
        <v>43555</v>
      </c>
      <c r="D28" s="32">
        <v>55446</v>
      </c>
      <c r="E28" s="23">
        <f t="shared" ref="E28:E40" si="12">IFERROR(D28/D27-1,0)</f>
        <v>0.19508567733591975</v>
      </c>
      <c r="G28" s="40">
        <f t="shared" ref="G28:G40" si="13">G27+1</f>
        <v>3</v>
      </c>
      <c r="H28" s="44">
        <f t="shared" ref="H28:H40" si="14">H27+365</f>
        <v>43555</v>
      </c>
      <c r="I28" s="32">
        <v>2882</v>
      </c>
      <c r="J28" s="23">
        <f t="shared" ref="J28:J40" si="15">IFERROR(I28/I27-1,0)</f>
        <v>-0.12956810631229232</v>
      </c>
      <c r="L28" s="40">
        <f t="shared" ref="L28:L40" si="16">L27+1</f>
        <v>3</v>
      </c>
      <c r="M28" s="44">
        <f t="shared" ref="M28:M40" si="17">M27+365</f>
        <v>43555</v>
      </c>
      <c r="N28" s="32">
        <v>7059</v>
      </c>
      <c r="O28" s="23">
        <f t="shared" ref="O28:O40" si="18">IFERROR(N28/N27-1,0)</f>
        <v>0.33063147973609808</v>
      </c>
    </row>
    <row r="29" spans="2:15" x14ac:dyDescent="0.3">
      <c r="B29" s="40">
        <f t="shared" si="10"/>
        <v>4</v>
      </c>
      <c r="C29" s="44">
        <f t="shared" si="11"/>
        <v>43920</v>
      </c>
      <c r="D29" s="32">
        <v>62210</v>
      </c>
      <c r="E29" s="23">
        <f t="shared" si="12"/>
        <v>0.12199256934675184</v>
      </c>
      <c r="G29" s="40">
        <f t="shared" si="13"/>
        <v>4</v>
      </c>
      <c r="H29" s="44">
        <f t="shared" si="14"/>
        <v>43920</v>
      </c>
      <c r="I29" s="32">
        <v>2803</v>
      </c>
      <c r="J29" s="23">
        <f t="shared" si="15"/>
        <v>-2.7411519777931992E-2</v>
      </c>
      <c r="L29" s="40">
        <f t="shared" si="16"/>
        <v>4</v>
      </c>
      <c r="M29" s="44">
        <f t="shared" si="17"/>
        <v>43920</v>
      </c>
      <c r="N29" s="32">
        <v>6314</v>
      </c>
      <c r="O29" s="23">
        <f t="shared" si="18"/>
        <v>-0.10553902819096195</v>
      </c>
    </row>
    <row r="30" spans="2:15" x14ac:dyDescent="0.3">
      <c r="B30" s="40">
        <f t="shared" si="10"/>
        <v>5</v>
      </c>
      <c r="C30" s="44">
        <f t="shared" si="11"/>
        <v>44285</v>
      </c>
      <c r="D30" s="32">
        <v>68490</v>
      </c>
      <c r="E30" s="23">
        <f t="shared" si="12"/>
        <v>0.10094840057868515</v>
      </c>
      <c r="G30" s="40">
        <f t="shared" si="13"/>
        <v>5</v>
      </c>
      <c r="H30" s="44">
        <f t="shared" si="14"/>
        <v>44285</v>
      </c>
      <c r="I30" s="32">
        <v>2201</v>
      </c>
      <c r="J30" s="23">
        <f t="shared" si="15"/>
        <v>-0.21476988940420982</v>
      </c>
      <c r="L30" s="40">
        <f t="shared" si="16"/>
        <v>5</v>
      </c>
      <c r="M30" s="44">
        <f t="shared" si="17"/>
        <v>44285</v>
      </c>
      <c r="N30" s="32">
        <v>4093</v>
      </c>
      <c r="O30" s="23">
        <f t="shared" si="18"/>
        <v>-0.35175799809946151</v>
      </c>
    </row>
    <row r="31" spans="2:15" x14ac:dyDescent="0.3">
      <c r="B31" s="40">
        <f t="shared" si="10"/>
        <v>6</v>
      </c>
      <c r="C31" s="44">
        <f t="shared" si="11"/>
        <v>44650</v>
      </c>
      <c r="D31" s="32">
        <v>84819</v>
      </c>
      <c r="E31" s="23">
        <f t="shared" si="12"/>
        <v>0.2384143670608847</v>
      </c>
      <c r="G31" s="40">
        <f t="shared" si="13"/>
        <v>6</v>
      </c>
      <c r="H31" s="44">
        <f t="shared" si="14"/>
        <v>44650</v>
      </c>
      <c r="I31" s="32">
        <v>2295</v>
      </c>
      <c r="J31" s="23">
        <f t="shared" si="15"/>
        <v>4.2707860063607495E-2</v>
      </c>
      <c r="L31" s="40">
        <f t="shared" si="16"/>
        <v>6</v>
      </c>
      <c r="M31" s="44">
        <f t="shared" si="17"/>
        <v>44650</v>
      </c>
      <c r="N31" s="32">
        <v>5331</v>
      </c>
      <c r="O31" s="23">
        <f t="shared" si="18"/>
        <v>0.30246762765697532</v>
      </c>
    </row>
    <row r="32" spans="2:15" x14ac:dyDescent="0.3">
      <c r="B32" s="40">
        <f t="shared" si="10"/>
        <v>7</v>
      </c>
      <c r="C32" s="44">
        <f t="shared" si="11"/>
        <v>45015</v>
      </c>
      <c r="D32" s="32">
        <v>104880</v>
      </c>
      <c r="E32" s="23">
        <f t="shared" si="12"/>
        <v>0.23651540338839183</v>
      </c>
      <c r="G32" s="40">
        <f t="shared" si="13"/>
        <v>7</v>
      </c>
      <c r="H32" s="44">
        <f t="shared" si="14"/>
        <v>45015</v>
      </c>
      <c r="I32" s="32">
        <v>2701</v>
      </c>
      <c r="J32" s="23">
        <f t="shared" si="15"/>
        <v>0.17690631808278856</v>
      </c>
      <c r="L32" s="40">
        <f t="shared" si="16"/>
        <v>7</v>
      </c>
      <c r="M32" s="44">
        <f t="shared" si="17"/>
        <v>45015</v>
      </c>
      <c r="N32" s="32">
        <v>6757</v>
      </c>
      <c r="O32" s="23">
        <f t="shared" si="18"/>
        <v>0.26749202776214598</v>
      </c>
    </row>
    <row r="33" spans="2:15" x14ac:dyDescent="0.3">
      <c r="B33" s="40">
        <f t="shared" si="10"/>
        <v>8</v>
      </c>
      <c r="C33" s="44">
        <f t="shared" si="11"/>
        <v>45380</v>
      </c>
      <c r="D33" s="32">
        <v>110030</v>
      </c>
      <c r="E33" s="23">
        <f t="shared" si="12"/>
        <v>4.9103737604881736E-2</v>
      </c>
      <c r="G33" s="40">
        <f t="shared" si="13"/>
        <v>8</v>
      </c>
      <c r="H33" s="44">
        <f t="shared" si="14"/>
        <v>45380</v>
      </c>
      <c r="I33" s="32">
        <v>4711</v>
      </c>
      <c r="J33" s="23">
        <f t="shared" si="15"/>
        <v>0.74416882636060722</v>
      </c>
      <c r="L33" s="40">
        <f t="shared" si="16"/>
        <v>8</v>
      </c>
      <c r="M33" s="44">
        <f t="shared" si="17"/>
        <v>45380</v>
      </c>
      <c r="N33" s="32">
        <v>7215</v>
      </c>
      <c r="O33" s="23">
        <f t="shared" si="18"/>
        <v>6.7781559863844931E-2</v>
      </c>
    </row>
    <row r="34" spans="2:15" x14ac:dyDescent="0.3">
      <c r="B34" s="40">
        <f t="shared" si="10"/>
        <v>9</v>
      </c>
      <c r="C34" s="44">
        <f t="shared" si="11"/>
        <v>45745</v>
      </c>
      <c r="D34" s="32">
        <v>116585</v>
      </c>
      <c r="E34" s="23">
        <f t="shared" si="12"/>
        <v>5.957466145596646E-2</v>
      </c>
      <c r="G34" s="40">
        <f t="shared" si="13"/>
        <v>9</v>
      </c>
      <c r="H34" s="44">
        <f t="shared" si="14"/>
        <v>45745</v>
      </c>
      <c r="I34" s="32">
        <v>3600</v>
      </c>
      <c r="J34" s="23">
        <f t="shared" si="15"/>
        <v>-0.23583103375079606</v>
      </c>
      <c r="L34" s="40">
        <f t="shared" si="16"/>
        <v>9</v>
      </c>
      <c r="M34" s="44">
        <f t="shared" si="17"/>
        <v>45745</v>
      </c>
      <c r="N34" s="32">
        <v>7169</v>
      </c>
      <c r="O34" s="23">
        <f t="shared" si="18"/>
        <v>-6.375606375606413E-3</v>
      </c>
    </row>
    <row r="35" spans="2:15" x14ac:dyDescent="0.3">
      <c r="B35" s="40">
        <f t="shared" si="10"/>
        <v>10</v>
      </c>
      <c r="C35" s="44">
        <f t="shared" si="11"/>
        <v>46110</v>
      </c>
      <c r="D35" s="32">
        <v>128257</v>
      </c>
      <c r="E35" s="23">
        <f t="shared" si="12"/>
        <v>0.10011579534245407</v>
      </c>
      <c r="G35" s="40">
        <f t="shared" si="13"/>
        <v>10</v>
      </c>
      <c r="H35" s="44">
        <f t="shared" si="14"/>
        <v>46110</v>
      </c>
      <c r="I35" s="32">
        <v>3033</v>
      </c>
      <c r="J35" s="23">
        <f t="shared" si="15"/>
        <v>-0.15749999999999997</v>
      </c>
      <c r="L35" s="40">
        <f t="shared" si="16"/>
        <v>10</v>
      </c>
      <c r="M35" s="44">
        <f t="shared" si="17"/>
        <v>46110</v>
      </c>
      <c r="N35" s="32">
        <v>8113</v>
      </c>
      <c r="O35" s="23">
        <f t="shared" si="18"/>
        <v>0.13167805830659796</v>
      </c>
    </row>
    <row r="36" spans="2:15" x14ac:dyDescent="0.3">
      <c r="B36" s="45">
        <f t="shared" si="10"/>
        <v>11</v>
      </c>
      <c r="C36" s="46">
        <f t="shared" si="11"/>
        <v>46475</v>
      </c>
      <c r="D36" s="47">
        <f>FORECAST(B36,$D$26:$D$35,$B$26:$B$35)</f>
        <v>137552.79999999999</v>
      </c>
      <c r="E36" s="48">
        <f t="shared" si="12"/>
        <v>7.2477915435414708E-2</v>
      </c>
      <c r="G36" s="45">
        <f t="shared" si="13"/>
        <v>11</v>
      </c>
      <c r="H36" s="46">
        <f t="shared" si="14"/>
        <v>46475</v>
      </c>
      <c r="I36" s="47">
        <f>FORECAST(G36,$I$26:$I$35,$G$26:$G$35)</f>
        <v>3418.7999999999997</v>
      </c>
      <c r="J36" s="48">
        <f t="shared" si="15"/>
        <v>0.12720079129574668</v>
      </c>
      <c r="L36" s="45">
        <f t="shared" si="16"/>
        <v>11</v>
      </c>
      <c r="M36" s="46">
        <f t="shared" si="17"/>
        <v>46475</v>
      </c>
      <c r="N36" s="47">
        <f>FORECAST(L36,$N$26:$N$35,$L$26:$L$35)</f>
        <v>7661.8</v>
      </c>
      <c r="O36" s="48">
        <f t="shared" si="18"/>
        <v>-5.5614445950942892E-2</v>
      </c>
    </row>
    <row r="37" spans="2:15" x14ac:dyDescent="0.3">
      <c r="B37" s="45">
        <f t="shared" si="10"/>
        <v>12</v>
      </c>
      <c r="C37" s="46">
        <f t="shared" si="11"/>
        <v>46840</v>
      </c>
      <c r="D37" s="47">
        <f t="shared" ref="D37:D40" si="19">FORECAST(B37,$D$26:$D$35,$B$26:$B$35)</f>
        <v>147622.01818181819</v>
      </c>
      <c r="E37" s="48">
        <f t="shared" si="12"/>
        <v>7.3202567899876891E-2</v>
      </c>
      <c r="G37" s="45">
        <f t="shared" si="13"/>
        <v>12</v>
      </c>
      <c r="H37" s="46">
        <f t="shared" si="14"/>
        <v>46840</v>
      </c>
      <c r="I37" s="47">
        <f t="shared" ref="I37:I40" si="20">FORECAST(G37,$I$26:$I$35,$G$26:$G$35)</f>
        <v>3484.272727272727</v>
      </c>
      <c r="J37" s="48">
        <f t="shared" si="15"/>
        <v>1.9150791878064677E-2</v>
      </c>
      <c r="L37" s="45">
        <f t="shared" si="16"/>
        <v>12</v>
      </c>
      <c r="M37" s="46">
        <f t="shared" si="17"/>
        <v>46840</v>
      </c>
      <c r="N37" s="47">
        <f t="shared" ref="N37:N40" si="21">FORECAST(L37,$N$26:$N$35,$L$26:$L$35)</f>
        <v>7916.181818181818</v>
      </c>
      <c r="O37" s="48">
        <f t="shared" si="18"/>
        <v>3.3201312770082536E-2</v>
      </c>
    </row>
    <row r="38" spans="2:15" x14ac:dyDescent="0.3">
      <c r="B38" s="45">
        <f t="shared" si="10"/>
        <v>13</v>
      </c>
      <c r="C38" s="46">
        <f t="shared" si="11"/>
        <v>47205</v>
      </c>
      <c r="D38" s="47">
        <f t="shared" si="19"/>
        <v>157691.23636363639</v>
      </c>
      <c r="E38" s="48">
        <f t="shared" si="12"/>
        <v>6.8209460254204712E-2</v>
      </c>
      <c r="G38" s="45">
        <f t="shared" si="13"/>
        <v>13</v>
      </c>
      <c r="H38" s="46">
        <f t="shared" si="14"/>
        <v>47205</v>
      </c>
      <c r="I38" s="47">
        <f t="shared" si="20"/>
        <v>3549.7454545454543</v>
      </c>
      <c r="J38" s="48">
        <f t="shared" si="15"/>
        <v>1.879093067550297E-2</v>
      </c>
      <c r="L38" s="45">
        <f t="shared" si="16"/>
        <v>13</v>
      </c>
      <c r="M38" s="46">
        <f t="shared" si="17"/>
        <v>47205</v>
      </c>
      <c r="N38" s="47">
        <f t="shared" si="21"/>
        <v>8170.5636363636368</v>
      </c>
      <c r="O38" s="48">
        <f t="shared" si="18"/>
        <v>3.2134408231700329E-2</v>
      </c>
    </row>
    <row r="39" spans="2:15" x14ac:dyDescent="0.3">
      <c r="B39" s="45">
        <f t="shared" si="10"/>
        <v>14</v>
      </c>
      <c r="C39" s="46">
        <f t="shared" si="11"/>
        <v>47570</v>
      </c>
      <c r="D39" s="47">
        <f t="shared" si="19"/>
        <v>167760.45454545453</v>
      </c>
      <c r="E39" s="48">
        <f t="shared" si="12"/>
        <v>6.3854012524821036E-2</v>
      </c>
      <c r="G39" s="45">
        <f t="shared" si="13"/>
        <v>14</v>
      </c>
      <c r="H39" s="46">
        <f t="shared" si="14"/>
        <v>47570</v>
      </c>
      <c r="I39" s="47">
        <f t="shared" si="20"/>
        <v>3615.2181818181816</v>
      </c>
      <c r="J39" s="48">
        <f t="shared" si="15"/>
        <v>1.8444344280767799E-2</v>
      </c>
      <c r="L39" s="45">
        <f t="shared" si="16"/>
        <v>14</v>
      </c>
      <c r="M39" s="46">
        <f t="shared" si="17"/>
        <v>47570</v>
      </c>
      <c r="N39" s="47">
        <f t="shared" si="21"/>
        <v>8424.9454545454537</v>
      </c>
      <c r="O39" s="48">
        <f t="shared" si="18"/>
        <v>3.1133937571904413E-2</v>
      </c>
    </row>
    <row r="40" spans="2:15" x14ac:dyDescent="0.3">
      <c r="B40" s="45">
        <f t="shared" si="10"/>
        <v>15</v>
      </c>
      <c r="C40" s="46">
        <f t="shared" si="11"/>
        <v>47935</v>
      </c>
      <c r="D40" s="47">
        <f t="shared" si="19"/>
        <v>177829.67272727273</v>
      </c>
      <c r="E40" s="48">
        <f t="shared" si="12"/>
        <v>6.0021404979502924E-2</v>
      </c>
      <c r="G40" s="45">
        <f t="shared" si="13"/>
        <v>15</v>
      </c>
      <c r="H40" s="46">
        <f t="shared" si="14"/>
        <v>47935</v>
      </c>
      <c r="I40" s="47">
        <f t="shared" si="20"/>
        <v>3680.6909090909089</v>
      </c>
      <c r="J40" s="48">
        <f t="shared" si="15"/>
        <v>1.81103114611465E-2</v>
      </c>
      <c r="L40" s="45">
        <f t="shared" si="16"/>
        <v>15</v>
      </c>
      <c r="M40" s="46">
        <f t="shared" si="17"/>
        <v>47935</v>
      </c>
      <c r="N40" s="47">
        <f t="shared" si="21"/>
        <v>8679.3272727272724</v>
      </c>
      <c r="O40" s="48">
        <f t="shared" si="18"/>
        <v>3.0193883100403163E-2</v>
      </c>
    </row>
    <row r="43" spans="2:15" ht="25.8" x14ac:dyDescent="0.5">
      <c r="B43" s="41" t="s">
        <v>130</v>
      </c>
      <c r="G43" s="41" t="s">
        <v>132</v>
      </c>
      <c r="H43" s="42"/>
      <c r="I43" s="22"/>
      <c r="L43" s="41" t="s">
        <v>128</v>
      </c>
      <c r="N43" s="22"/>
      <c r="O43" s="22"/>
    </row>
    <row r="44" spans="2:15" x14ac:dyDescent="0.3">
      <c r="G44" s="40"/>
      <c r="H44" s="42"/>
      <c r="I44" s="22"/>
      <c r="N44" s="22"/>
      <c r="O44" s="22"/>
    </row>
    <row r="45" spans="2:15" x14ac:dyDescent="0.3">
      <c r="B45" s="8" t="s">
        <v>119</v>
      </c>
      <c r="C45" s="43" t="s">
        <v>120</v>
      </c>
      <c r="D45" s="8" t="s">
        <v>130</v>
      </c>
      <c r="E45" s="8" t="s">
        <v>131</v>
      </c>
      <c r="G45" s="8" t="s">
        <v>119</v>
      </c>
      <c r="H45" s="43" t="s">
        <v>120</v>
      </c>
      <c r="I45" s="8" t="s">
        <v>132</v>
      </c>
      <c r="J45" s="8" t="s">
        <v>133</v>
      </c>
      <c r="L45" s="8" t="s">
        <v>119</v>
      </c>
      <c r="M45" s="43" t="s">
        <v>120</v>
      </c>
      <c r="N45" s="8" t="s">
        <v>128</v>
      </c>
      <c r="O45" s="8" t="s">
        <v>129</v>
      </c>
    </row>
    <row r="46" spans="2:15" x14ac:dyDescent="0.3">
      <c r="B46" s="40">
        <v>1</v>
      </c>
      <c r="C46" s="44">
        <f>'Data Sheet'!$B$16</f>
        <v>42825</v>
      </c>
      <c r="D46" s="32">
        <f t="array" ref="D46:D55">TRANSPOSE('Profit &amp; Loss'!B16:K16)</f>
        <v>0</v>
      </c>
      <c r="G46" s="40">
        <v>1</v>
      </c>
      <c r="H46" s="44">
        <f>'Data Sheet'!$B$16</f>
        <v>42825</v>
      </c>
      <c r="I46" s="32">
        <f t="array" ref="I46:I55">TRANSPOSE('Profit &amp; Loss'!B19:K19)</f>
        <v>5598</v>
      </c>
      <c r="L46" s="40">
        <v>1</v>
      </c>
      <c r="M46" s="44">
        <f>'Data Sheet'!$B$16</f>
        <v>42825</v>
      </c>
      <c r="N46" s="32">
        <f t="array" ref="N46:N55">TRANSPOSE('Profit &amp; Loss'!B15:K15)</f>
        <v>1703</v>
      </c>
      <c r="O46" s="22"/>
    </row>
    <row r="47" spans="2:15" x14ac:dyDescent="0.3">
      <c r="B47" s="40">
        <f>B46+1</f>
        <v>2</v>
      </c>
      <c r="C47" s="44">
        <f>C46+365</f>
        <v>43190</v>
      </c>
      <c r="D47" s="32">
        <v>0</v>
      </c>
      <c r="E47" s="23">
        <f>IFERROR(D47/D46-1,0)</f>
        <v>0</v>
      </c>
      <c r="G47" s="40">
        <f>G46+1</f>
        <v>2</v>
      </c>
      <c r="H47" s="44">
        <f>H46+365</f>
        <v>43190</v>
      </c>
      <c r="I47" s="32">
        <v>4241</v>
      </c>
      <c r="J47" s="23">
        <f>IFERROR(I47/I46-1,0)</f>
        <v>-0.24240800285816366</v>
      </c>
      <c r="L47" s="40">
        <f>L46+1</f>
        <v>2</v>
      </c>
      <c r="M47" s="44">
        <f>M46+365</f>
        <v>43190</v>
      </c>
      <c r="N47" s="32">
        <v>1863</v>
      </c>
      <c r="O47" s="23">
        <f>IFERROR(N47/N46-1,0)</f>
        <v>9.3951849677040622E-2</v>
      </c>
    </row>
    <row r="48" spans="2:15" x14ac:dyDescent="0.3">
      <c r="B48" s="40">
        <f t="shared" ref="B48:B60" si="22">B47+1</f>
        <v>3</v>
      </c>
      <c r="C48" s="44">
        <f t="shared" ref="C48:C60" si="23">C47+365</f>
        <v>43555</v>
      </c>
      <c r="D48" s="32">
        <v>0</v>
      </c>
      <c r="E48" s="23">
        <f t="shared" ref="E48:E60" si="24">IFERROR(D48/D47-1,0)</f>
        <v>0</v>
      </c>
      <c r="G48" s="40">
        <f t="shared" ref="G48:G60" si="25">G47+1</f>
        <v>3</v>
      </c>
      <c r="H48" s="44">
        <f t="shared" ref="H48:H60" si="26">H47+365</f>
        <v>43555</v>
      </c>
      <c r="I48" s="32">
        <v>5631</v>
      </c>
      <c r="J48" s="23">
        <f t="shared" ref="J48:J60" si="27">IFERROR(I48/I47-1,0)</f>
        <v>0.32775288846970052</v>
      </c>
      <c r="L48" s="40">
        <f t="shared" ref="L48:L60" si="28">L47+1</f>
        <v>3</v>
      </c>
      <c r="M48" s="44">
        <f t="shared" ref="M48:M60" si="29">M47+365</f>
        <v>43555</v>
      </c>
      <c r="N48" s="32">
        <v>2011</v>
      </c>
      <c r="O48" s="23">
        <f t="shared" ref="O48:O60" si="30">IFERROR(N48/N47-1,0)</f>
        <v>7.94417606011808E-2</v>
      </c>
    </row>
    <row r="49" spans="2:15" x14ac:dyDescent="0.3">
      <c r="B49" s="40">
        <f t="shared" si="22"/>
        <v>4</v>
      </c>
      <c r="C49" s="44">
        <f t="shared" si="23"/>
        <v>43920</v>
      </c>
      <c r="D49" s="32">
        <v>170</v>
      </c>
      <c r="E49" s="23">
        <f t="shared" si="24"/>
        <v>0</v>
      </c>
      <c r="G49" s="40">
        <f t="shared" si="25"/>
        <v>4</v>
      </c>
      <c r="H49" s="44">
        <f t="shared" si="26"/>
        <v>43920</v>
      </c>
      <c r="I49" s="32">
        <v>5368</v>
      </c>
      <c r="J49" s="23">
        <f t="shared" si="27"/>
        <v>-4.6705736103711648E-2</v>
      </c>
      <c r="L49" s="40">
        <f t="shared" si="28"/>
        <v>4</v>
      </c>
      <c r="M49" s="44">
        <f t="shared" si="29"/>
        <v>43920</v>
      </c>
      <c r="N49" s="32">
        <v>2893</v>
      </c>
      <c r="O49" s="23">
        <f t="shared" si="30"/>
        <v>0.43858776727996029</v>
      </c>
    </row>
    <row r="50" spans="2:15" x14ac:dyDescent="0.3">
      <c r="B50" s="40">
        <f t="shared" si="22"/>
        <v>5</v>
      </c>
      <c r="C50" s="44">
        <f t="shared" si="23"/>
        <v>44285</v>
      </c>
      <c r="D50" s="32">
        <v>195</v>
      </c>
      <c r="E50" s="23">
        <f t="shared" si="24"/>
        <v>0.14705882352941169</v>
      </c>
      <c r="G50" s="40">
        <f t="shared" si="25"/>
        <v>5</v>
      </c>
      <c r="H50" s="44">
        <f t="shared" si="26"/>
        <v>44285</v>
      </c>
      <c r="I50" s="32">
        <v>7205</v>
      </c>
      <c r="J50" s="23">
        <f t="shared" si="27"/>
        <v>0.34221311475409832</v>
      </c>
      <c r="L50" s="40">
        <f t="shared" si="28"/>
        <v>5</v>
      </c>
      <c r="M50" s="44">
        <f t="shared" si="29"/>
        <v>44285</v>
      </c>
      <c r="N50" s="32">
        <v>3267</v>
      </c>
      <c r="O50" s="23">
        <f t="shared" si="30"/>
        <v>0.12927756653992395</v>
      </c>
    </row>
    <row r="51" spans="2:15" x14ac:dyDescent="0.3">
      <c r="B51" s="40">
        <f t="shared" si="22"/>
        <v>6</v>
      </c>
      <c r="C51" s="44">
        <f t="shared" si="23"/>
        <v>44650</v>
      </c>
      <c r="D51" s="32">
        <v>200</v>
      </c>
      <c r="E51" s="23">
        <f t="shared" si="24"/>
        <v>2.564102564102555E-2</v>
      </c>
      <c r="G51" s="40">
        <f t="shared" si="25"/>
        <v>6</v>
      </c>
      <c r="H51" s="44">
        <f t="shared" si="26"/>
        <v>44650</v>
      </c>
      <c r="I51" s="32">
        <v>7964</v>
      </c>
      <c r="J51" s="23">
        <f t="shared" si="27"/>
        <v>0.10534351145038179</v>
      </c>
      <c r="L51" s="40">
        <f t="shared" si="28"/>
        <v>6</v>
      </c>
      <c r="M51" s="44">
        <f t="shared" si="29"/>
        <v>44650</v>
      </c>
      <c r="N51" s="32">
        <v>3476</v>
      </c>
      <c r="O51" s="23">
        <f t="shared" si="30"/>
        <v>6.3973063973064015E-2</v>
      </c>
    </row>
    <row r="52" spans="2:15" x14ac:dyDescent="0.3">
      <c r="B52" s="40">
        <f t="shared" si="22"/>
        <v>7</v>
      </c>
      <c r="C52" s="44">
        <f t="shared" si="23"/>
        <v>45015</v>
      </c>
      <c r="D52" s="32">
        <v>284</v>
      </c>
      <c r="E52" s="23">
        <f t="shared" si="24"/>
        <v>0.41999999999999993</v>
      </c>
      <c r="G52" s="40">
        <f t="shared" si="25"/>
        <v>7</v>
      </c>
      <c r="H52" s="44">
        <f t="shared" si="26"/>
        <v>45015</v>
      </c>
      <c r="I52" s="32">
        <v>9214</v>
      </c>
      <c r="J52" s="23">
        <f t="shared" si="27"/>
        <v>0.1569563033651431</v>
      </c>
      <c r="L52" s="40">
        <f t="shared" si="28"/>
        <v>7</v>
      </c>
      <c r="M52" s="44">
        <f t="shared" si="29"/>
        <v>45015</v>
      </c>
      <c r="N52" s="32">
        <v>4225</v>
      </c>
      <c r="O52" s="23">
        <f t="shared" si="30"/>
        <v>0.21547756041426935</v>
      </c>
    </row>
    <row r="53" spans="2:15" x14ac:dyDescent="0.3">
      <c r="B53" s="40">
        <f t="shared" si="22"/>
        <v>8</v>
      </c>
      <c r="C53" s="44">
        <f t="shared" si="23"/>
        <v>45380</v>
      </c>
      <c r="D53" s="32">
        <v>470</v>
      </c>
      <c r="E53" s="23">
        <f t="shared" si="24"/>
        <v>0.65492957746478875</v>
      </c>
      <c r="G53" s="40">
        <f t="shared" si="25"/>
        <v>8</v>
      </c>
      <c r="H53" s="44">
        <f t="shared" si="26"/>
        <v>45380</v>
      </c>
      <c r="I53" s="32">
        <v>9740</v>
      </c>
      <c r="J53" s="23">
        <f t="shared" si="27"/>
        <v>5.7087041458649956E-2</v>
      </c>
      <c r="L53" s="40">
        <f t="shared" si="28"/>
        <v>8</v>
      </c>
      <c r="M53" s="44">
        <f t="shared" si="29"/>
        <v>45380</v>
      </c>
      <c r="N53" s="32">
        <v>4678</v>
      </c>
      <c r="O53" s="23">
        <f t="shared" si="30"/>
        <v>0.10721893491124268</v>
      </c>
    </row>
    <row r="54" spans="2:15" x14ac:dyDescent="0.3">
      <c r="B54" s="40">
        <f t="shared" si="22"/>
        <v>9</v>
      </c>
      <c r="C54" s="44">
        <f t="shared" si="23"/>
        <v>45745</v>
      </c>
      <c r="D54" s="32">
        <v>416</v>
      </c>
      <c r="E54" s="23">
        <f t="shared" si="24"/>
        <v>-0.11489361702127665</v>
      </c>
      <c r="G54" s="40">
        <f t="shared" si="25"/>
        <v>9</v>
      </c>
      <c r="H54" s="44">
        <f t="shared" si="26"/>
        <v>45745</v>
      </c>
      <c r="I54" s="32">
        <v>10858</v>
      </c>
      <c r="J54" s="23">
        <f t="shared" si="27"/>
        <v>0.11478439425051334</v>
      </c>
      <c r="L54" s="40">
        <f t="shared" si="28"/>
        <v>9</v>
      </c>
      <c r="M54" s="44">
        <f t="shared" si="29"/>
        <v>45745</v>
      </c>
      <c r="N54" s="32">
        <v>4812</v>
      </c>
      <c r="O54" s="23">
        <f t="shared" si="30"/>
        <v>2.8644719965797316E-2</v>
      </c>
    </row>
    <row r="55" spans="2:15" x14ac:dyDescent="0.3">
      <c r="B55" s="40">
        <f t="shared" si="22"/>
        <v>10</v>
      </c>
      <c r="C55" s="44">
        <f t="shared" si="23"/>
        <v>46110</v>
      </c>
      <c r="D55" s="32">
        <v>416</v>
      </c>
      <c r="E55" s="23">
        <f t="shared" si="24"/>
        <v>0</v>
      </c>
      <c r="G55" s="40">
        <f t="shared" si="25"/>
        <v>10</v>
      </c>
      <c r="H55" s="44">
        <f t="shared" si="26"/>
        <v>46110</v>
      </c>
      <c r="I55" s="32">
        <v>10521</v>
      </c>
      <c r="J55" s="23">
        <f t="shared" si="27"/>
        <v>-3.1037023392890051E-2</v>
      </c>
      <c r="L55" s="40">
        <f t="shared" si="28"/>
        <v>10</v>
      </c>
      <c r="M55" s="44">
        <f t="shared" si="29"/>
        <v>46110</v>
      </c>
      <c r="N55" s="32">
        <v>4902</v>
      </c>
      <c r="O55" s="23">
        <f t="shared" si="30"/>
        <v>1.8703241895261735E-2</v>
      </c>
    </row>
    <row r="56" spans="2:15" x14ac:dyDescent="0.3">
      <c r="B56" s="45">
        <f t="shared" si="22"/>
        <v>11</v>
      </c>
      <c r="C56" s="46">
        <f t="shared" si="23"/>
        <v>46475</v>
      </c>
      <c r="D56" s="47">
        <f t="array" ref="D56">FORECAST(B56,$D$46:$D$55,$B$46:$B$55)</f>
        <v>526.86666666666667</v>
      </c>
      <c r="E56" s="48">
        <f t="shared" si="24"/>
        <v>0.26650641025641031</v>
      </c>
      <c r="G56" s="45">
        <f t="shared" si="25"/>
        <v>11</v>
      </c>
      <c r="H56" s="46">
        <f t="shared" si="26"/>
        <v>46475</v>
      </c>
      <c r="I56" s="47">
        <f t="array" ref="I56">FORECAST(G56,$I$46:$I$55,$G$46:$G$55)</f>
        <v>11749.599999999999</v>
      </c>
      <c r="J56" s="48">
        <f t="shared" si="27"/>
        <v>0.11677597186579214</v>
      </c>
      <c r="L56" s="45">
        <f t="shared" si="28"/>
        <v>11</v>
      </c>
      <c r="M56" s="46">
        <f t="shared" si="29"/>
        <v>46475</v>
      </c>
      <c r="N56" s="47">
        <f>FORECAST(L56,$N$46:$N$55,$L$46:$L$55)</f>
        <v>5615.4666666666672</v>
      </c>
      <c r="O56" s="48">
        <f t="shared" si="30"/>
        <v>0.14554603563171509</v>
      </c>
    </row>
    <row r="57" spans="2:15" x14ac:dyDescent="0.3">
      <c r="B57" s="45">
        <f t="shared" si="22"/>
        <v>12</v>
      </c>
      <c r="C57" s="46">
        <f t="shared" si="23"/>
        <v>46840</v>
      </c>
      <c r="D57" s="47">
        <f t="array" ref="D57">FORECAST(B57,$D$46:$D$55,$B$46:$B$55)</f>
        <v>583.55151515151522</v>
      </c>
      <c r="E57" s="48">
        <f t="shared" si="24"/>
        <v>0.10758860271703496</v>
      </c>
      <c r="G57" s="45">
        <f t="shared" si="25"/>
        <v>12</v>
      </c>
      <c r="H57" s="46">
        <f t="shared" si="26"/>
        <v>46840</v>
      </c>
      <c r="I57" s="47">
        <f t="array" ref="I57">FORECAST(G57,$I$46:$I$55,$G$46:$G$55)</f>
        <v>12497.890909090911</v>
      </c>
      <c r="J57" s="48">
        <f t="shared" si="27"/>
        <v>6.368650073967741E-2</v>
      </c>
      <c r="L57" s="45">
        <f t="shared" si="28"/>
        <v>12</v>
      </c>
      <c r="M57" s="46">
        <f t="shared" si="29"/>
        <v>46840</v>
      </c>
      <c r="N57" s="47">
        <f t="shared" ref="N57:N60" si="31">FORECAST(L57,$N$46:$N$55,$L$46:$L$55)</f>
        <v>6021.3696969696957</v>
      </c>
      <c r="O57" s="48">
        <f t="shared" si="30"/>
        <v>7.2283045096227516E-2</v>
      </c>
    </row>
    <row r="58" spans="2:15" x14ac:dyDescent="0.3">
      <c r="B58" s="45">
        <f t="shared" si="22"/>
        <v>13</v>
      </c>
      <c r="C58" s="46">
        <f t="shared" si="23"/>
        <v>47205</v>
      </c>
      <c r="D58" s="47">
        <f t="array" ref="D58">FORECAST(B58,$D$46:$D$55,$B$46:$B$55)</f>
        <v>640.23636363636376</v>
      </c>
      <c r="E58" s="48">
        <f t="shared" si="24"/>
        <v>9.7137693953430526E-2</v>
      </c>
      <c r="G58" s="45">
        <f t="shared" si="25"/>
        <v>13</v>
      </c>
      <c r="H58" s="46">
        <f t="shared" si="26"/>
        <v>47205</v>
      </c>
      <c r="I58" s="47">
        <f t="array" ref="I58">FORECAST(G58,$I$46:$I$55,$G$46:$G$55)</f>
        <v>13246.18181818182</v>
      </c>
      <c r="J58" s="48">
        <f t="shared" si="27"/>
        <v>5.987337499854517E-2</v>
      </c>
      <c r="L58" s="45">
        <f t="shared" si="28"/>
        <v>13</v>
      </c>
      <c r="M58" s="46">
        <f t="shared" si="29"/>
        <v>47205</v>
      </c>
      <c r="N58" s="47">
        <f t="shared" si="31"/>
        <v>6427.2727272727261</v>
      </c>
      <c r="O58" s="48">
        <f t="shared" si="30"/>
        <v>6.7410415026884163E-2</v>
      </c>
    </row>
    <row r="59" spans="2:15" x14ac:dyDescent="0.3">
      <c r="B59" s="45">
        <f t="shared" si="22"/>
        <v>14</v>
      </c>
      <c r="C59" s="46">
        <f t="shared" si="23"/>
        <v>47570</v>
      </c>
      <c r="D59" s="47">
        <f t="array" ref="D59">FORECAST(B59,$D$46:$D$55,$B$46:$B$55)</f>
        <v>696.92121212121219</v>
      </c>
      <c r="E59" s="48">
        <f t="shared" si="24"/>
        <v>8.8537377294370279E-2</v>
      </c>
      <c r="G59" s="45">
        <f t="shared" si="25"/>
        <v>14</v>
      </c>
      <c r="H59" s="46">
        <f t="shared" si="26"/>
        <v>47570</v>
      </c>
      <c r="I59" s="47">
        <f t="array" ref="I59">FORECAST(G59,$I$46:$I$55,$G$46:$G$55)</f>
        <v>13994.472727272729</v>
      </c>
      <c r="J59" s="48">
        <f t="shared" si="27"/>
        <v>5.6491064320421724E-2</v>
      </c>
      <c r="L59" s="45">
        <f t="shared" si="28"/>
        <v>14</v>
      </c>
      <c r="M59" s="46">
        <f t="shared" si="29"/>
        <v>47570</v>
      </c>
      <c r="N59" s="47">
        <f t="shared" si="31"/>
        <v>6833.1757575757565</v>
      </c>
      <c r="O59" s="48">
        <f t="shared" si="30"/>
        <v>6.3153229608675199E-2</v>
      </c>
    </row>
    <row r="60" spans="2:15" x14ac:dyDescent="0.3">
      <c r="B60" s="45">
        <f t="shared" si="22"/>
        <v>15</v>
      </c>
      <c r="C60" s="46">
        <f t="shared" si="23"/>
        <v>47935</v>
      </c>
      <c r="D60" s="47">
        <f t="array" ref="D60">FORECAST(B60,$D$46:$D$55,$B$46:$B$55)</f>
        <v>753.60606060606062</v>
      </c>
      <c r="E60" s="48">
        <f t="shared" si="24"/>
        <v>8.1336092945596183E-2</v>
      </c>
      <c r="G60" s="45">
        <f t="shared" si="25"/>
        <v>15</v>
      </c>
      <c r="H60" s="46">
        <f t="shared" si="26"/>
        <v>47935</v>
      </c>
      <c r="I60" s="47">
        <f t="array" ref="I60">FORECAST(G60,$I$46:$I$55,$G$46:$G$55)</f>
        <v>14742.763636363637</v>
      </c>
      <c r="J60" s="48">
        <f t="shared" si="27"/>
        <v>5.3470461065147745E-2</v>
      </c>
      <c r="L60" s="45">
        <f t="shared" si="28"/>
        <v>15</v>
      </c>
      <c r="M60" s="46">
        <f t="shared" si="29"/>
        <v>47935</v>
      </c>
      <c r="N60" s="47">
        <f t="shared" si="31"/>
        <v>7239.0787878787869</v>
      </c>
      <c r="O60" s="48">
        <f t="shared" si="30"/>
        <v>5.9401813256891201E-2</v>
      </c>
    </row>
    <row r="63" spans="2:15" ht="25.8" x14ac:dyDescent="0.5">
      <c r="B63" s="41" t="s">
        <v>134</v>
      </c>
      <c r="G63" s="41" t="s">
        <v>136</v>
      </c>
      <c r="H63" s="42"/>
      <c r="I63" s="22"/>
      <c r="L63" s="41" t="s">
        <v>139</v>
      </c>
      <c r="M63" s="42"/>
      <c r="N63" s="22"/>
      <c r="O63" s="22"/>
    </row>
    <row r="64" spans="2:15" x14ac:dyDescent="0.3">
      <c r="G64" s="40"/>
      <c r="H64" s="42"/>
      <c r="I64" s="22"/>
      <c r="L64" s="40"/>
      <c r="M64" s="42"/>
      <c r="N64" s="22"/>
      <c r="O64" s="22"/>
    </row>
    <row r="65" spans="2:15" x14ac:dyDescent="0.3">
      <c r="B65" s="8" t="s">
        <v>119</v>
      </c>
      <c r="C65" s="43" t="s">
        <v>120</v>
      </c>
      <c r="D65" s="8" t="s">
        <v>134</v>
      </c>
      <c r="E65" s="8" t="s">
        <v>135</v>
      </c>
      <c r="G65" s="8" t="s">
        <v>119</v>
      </c>
      <c r="H65" s="43" t="s">
        <v>120</v>
      </c>
      <c r="I65" s="8" t="s">
        <v>137</v>
      </c>
      <c r="J65" s="8" t="s">
        <v>138</v>
      </c>
      <c r="L65" s="8" t="s">
        <v>119</v>
      </c>
      <c r="M65" s="43" t="s">
        <v>120</v>
      </c>
      <c r="N65" s="8" t="s">
        <v>140</v>
      </c>
      <c r="O65" s="8" t="s">
        <v>141</v>
      </c>
    </row>
    <row r="66" spans="2:15" x14ac:dyDescent="0.3">
      <c r="B66" s="40">
        <v>1</v>
      </c>
      <c r="C66" s="44">
        <f>'Data Sheet'!$B$16</f>
        <v>42825</v>
      </c>
      <c r="D66" s="32">
        <f t="array" ref="D66:D75">TRANSPOSE('Profit &amp; Loss'!B29:K29)</f>
        <v>511.13</v>
      </c>
      <c r="G66" s="40">
        <v>1</v>
      </c>
      <c r="H66" s="44">
        <f>'Data Sheet'!$B$16</f>
        <v>42825</v>
      </c>
      <c r="I66" s="32">
        <f t="array" ref="I66:I75">TRANSPOSE('Data Sheet'!B31:K31)</f>
        <v>5891.6</v>
      </c>
      <c r="L66" s="40">
        <v>1</v>
      </c>
      <c r="M66" s="44">
        <f>'Data Sheet'!$B$16</f>
        <v>42825</v>
      </c>
      <c r="N66" s="32">
        <f t="array" ref="N66:N75">TRANSPOSE('Balance Sheet'!B4:K4)</f>
        <v>1144</v>
      </c>
      <c r="O66" s="22"/>
    </row>
    <row r="67" spans="2:15" x14ac:dyDescent="0.3">
      <c r="B67" s="40">
        <f>B66+1</f>
        <v>2</v>
      </c>
      <c r="C67" s="44">
        <f>C66+365</f>
        <v>43190</v>
      </c>
      <c r="D67" s="32">
        <v>565.9</v>
      </c>
      <c r="E67" s="23">
        <f>IFERROR(D67/D66-1,0)</f>
        <v>0.10715473558585864</v>
      </c>
      <c r="G67" s="40">
        <f>G66+1</f>
        <v>2</v>
      </c>
      <c r="H67" s="44">
        <f>H66+365</f>
        <v>43190</v>
      </c>
      <c r="I67" s="32">
        <v>9465.6</v>
      </c>
      <c r="J67" s="23">
        <f>IFERROR(I67/I66-1,0)</f>
        <v>0.60662638332541241</v>
      </c>
      <c r="L67" s="40">
        <f>L66+1</f>
        <v>2</v>
      </c>
      <c r="M67" s="44">
        <f>M66+365</f>
        <v>43190</v>
      </c>
      <c r="N67" s="32">
        <v>1088</v>
      </c>
      <c r="O67" s="23">
        <f>IFERROR(N67/N66-1,0)</f>
        <v>-4.8951048951048959E-2</v>
      </c>
    </row>
    <row r="68" spans="2:15" x14ac:dyDescent="0.3">
      <c r="B68" s="40">
        <f t="shared" ref="B68:B80" si="32">B67+1</f>
        <v>3</v>
      </c>
      <c r="C68" s="44">
        <f t="shared" ref="C68:C80" si="33">C67+365</f>
        <v>43555</v>
      </c>
      <c r="D68" s="32">
        <v>743.85</v>
      </c>
      <c r="E68" s="23">
        <f t="shared" ref="E68:E80" si="34">IFERROR(D68/D67-1,0)</f>
        <v>0.31445485068033241</v>
      </c>
      <c r="G68" s="40">
        <f t="shared" ref="G68:G80" si="35">G67+1</f>
        <v>3</v>
      </c>
      <c r="H68" s="44">
        <f t="shared" ref="H68:H80" si="36">H67+365</f>
        <v>43555</v>
      </c>
      <c r="I68" s="32">
        <v>9222.5</v>
      </c>
      <c r="J68" s="23">
        <f t="shared" ref="J68:J80" si="37">IFERROR(I68/I67-1,0)</f>
        <v>-2.5682471264367845E-2</v>
      </c>
      <c r="L68" s="40">
        <f t="shared" ref="L68:L80" si="38">L67+1</f>
        <v>3</v>
      </c>
      <c r="M68" s="44">
        <f t="shared" ref="M68:M80" si="39">M67+365</f>
        <v>43555</v>
      </c>
      <c r="N68" s="32">
        <v>2170</v>
      </c>
      <c r="O68" s="23">
        <f t="shared" ref="O68:O80" si="40">IFERROR(N68/N67-1,0)</f>
        <v>0.99448529411764697</v>
      </c>
    </row>
    <row r="69" spans="2:15" x14ac:dyDescent="0.3">
      <c r="B69" s="40">
        <f t="shared" si="32"/>
        <v>4</v>
      </c>
      <c r="C69" s="44">
        <f t="shared" si="33"/>
        <v>43920</v>
      </c>
      <c r="D69" s="32">
        <v>641.5</v>
      </c>
      <c r="E69" s="23">
        <f t="shared" si="34"/>
        <v>-0.13759494521744975</v>
      </c>
      <c r="G69" s="40">
        <f t="shared" si="35"/>
        <v>4</v>
      </c>
      <c r="H69" s="44">
        <f t="shared" si="36"/>
        <v>43920</v>
      </c>
      <c r="I69" s="32">
        <v>7427</v>
      </c>
      <c r="J69" s="23">
        <f t="shared" si="37"/>
        <v>-0.19468690702087288</v>
      </c>
      <c r="L69" s="40">
        <f t="shared" si="38"/>
        <v>4</v>
      </c>
      <c r="M69" s="44">
        <f t="shared" si="39"/>
        <v>43920</v>
      </c>
      <c r="N69" s="32">
        <v>2122</v>
      </c>
      <c r="O69" s="23">
        <f t="shared" si="40"/>
        <v>-2.2119815668202758E-2</v>
      </c>
    </row>
    <row r="70" spans="2:15" x14ac:dyDescent="0.3">
      <c r="B70" s="40">
        <f t="shared" si="32"/>
        <v>5</v>
      </c>
      <c r="C70" s="44">
        <f t="shared" si="33"/>
        <v>44285</v>
      </c>
      <c r="D70" s="32">
        <v>1368.05</v>
      </c>
      <c r="E70" s="23">
        <f t="shared" si="34"/>
        <v>1.1325798908807481</v>
      </c>
      <c r="G70" s="40">
        <f t="shared" si="35"/>
        <v>5</v>
      </c>
      <c r="H70" s="44">
        <f t="shared" si="36"/>
        <v>44285</v>
      </c>
      <c r="I70" s="32">
        <v>11469.6</v>
      </c>
      <c r="J70" s="23">
        <f t="shared" si="37"/>
        <v>0.54431129662043909</v>
      </c>
      <c r="L70" s="40">
        <f t="shared" si="38"/>
        <v>5</v>
      </c>
      <c r="M70" s="44">
        <f t="shared" si="39"/>
        <v>44285</v>
      </c>
      <c r="N70" s="32">
        <v>2124</v>
      </c>
      <c r="O70" s="23">
        <f t="shared" si="40"/>
        <v>9.4250706880294466E-4</v>
      </c>
    </row>
    <row r="71" spans="2:15" x14ac:dyDescent="0.3">
      <c r="B71" s="40">
        <f t="shared" si="32"/>
        <v>6</v>
      </c>
      <c r="C71" s="44">
        <f t="shared" si="33"/>
        <v>44650</v>
      </c>
      <c r="D71" s="32">
        <v>1906.85</v>
      </c>
      <c r="E71" s="23">
        <f t="shared" si="34"/>
        <v>0.39384525419392569</v>
      </c>
      <c r="G71" s="40">
        <f t="shared" si="35"/>
        <v>6</v>
      </c>
      <c r="H71" s="44">
        <f t="shared" si="36"/>
        <v>44650</v>
      </c>
      <c r="I71" s="32">
        <v>13007.6</v>
      </c>
      <c r="J71" s="23">
        <f t="shared" si="37"/>
        <v>0.13409360396177727</v>
      </c>
      <c r="L71" s="40">
        <f t="shared" si="38"/>
        <v>6</v>
      </c>
      <c r="M71" s="44">
        <f t="shared" si="39"/>
        <v>44650</v>
      </c>
      <c r="N71" s="32">
        <v>2098</v>
      </c>
      <c r="O71" s="23">
        <f t="shared" si="40"/>
        <v>-1.2241054613935987E-2</v>
      </c>
    </row>
    <row r="72" spans="2:15" x14ac:dyDescent="0.3">
      <c r="B72" s="40">
        <f t="shared" si="32"/>
        <v>7</v>
      </c>
      <c r="C72" s="44">
        <f t="shared" si="33"/>
        <v>45015</v>
      </c>
      <c r="D72" s="32">
        <v>1427.95</v>
      </c>
      <c r="E72" s="23">
        <f t="shared" si="34"/>
        <v>-0.25114717990403013</v>
      </c>
      <c r="G72" s="40">
        <f t="shared" si="35"/>
        <v>7</v>
      </c>
      <c r="H72" s="44">
        <f t="shared" si="36"/>
        <v>45015</v>
      </c>
      <c r="I72" s="32">
        <v>14069.2</v>
      </c>
      <c r="J72" s="23">
        <f t="shared" si="37"/>
        <v>8.1613825763399817E-2</v>
      </c>
      <c r="L72" s="40">
        <f t="shared" si="38"/>
        <v>7</v>
      </c>
      <c r="M72" s="44">
        <f t="shared" si="39"/>
        <v>45015</v>
      </c>
      <c r="N72" s="32">
        <v>2069</v>
      </c>
      <c r="O72" s="23">
        <f t="shared" si="40"/>
        <v>-1.3822688274547135E-2</v>
      </c>
    </row>
    <row r="73" spans="2:15" x14ac:dyDescent="0.3">
      <c r="B73" s="40">
        <f t="shared" si="32"/>
        <v>8</v>
      </c>
      <c r="C73" s="44">
        <f t="shared" si="33"/>
        <v>45380</v>
      </c>
      <c r="D73" s="32">
        <v>1498.05</v>
      </c>
      <c r="E73" s="23">
        <f t="shared" si="34"/>
        <v>4.9091354739311477E-2</v>
      </c>
      <c r="G73" s="40">
        <f t="shared" si="35"/>
        <v>8</v>
      </c>
      <c r="H73" s="44">
        <f t="shared" si="36"/>
        <v>45380</v>
      </c>
      <c r="I73" s="32">
        <v>19053.2</v>
      </c>
      <c r="J73" s="23">
        <f t="shared" si="37"/>
        <v>0.35424899781082075</v>
      </c>
      <c r="L73" s="40">
        <f t="shared" si="38"/>
        <v>8</v>
      </c>
      <c r="M73" s="44">
        <f t="shared" si="39"/>
        <v>45380</v>
      </c>
      <c r="N73" s="32">
        <v>2071</v>
      </c>
      <c r="O73" s="23">
        <f t="shared" si="40"/>
        <v>9.6665055582412229E-4</v>
      </c>
    </row>
    <row r="74" spans="2:15" x14ac:dyDescent="0.3">
      <c r="B74" s="40">
        <f t="shared" si="32"/>
        <v>9</v>
      </c>
      <c r="C74" s="44">
        <f t="shared" si="33"/>
        <v>45745</v>
      </c>
      <c r="D74" s="32">
        <v>1570.65</v>
      </c>
      <c r="E74" s="23">
        <f t="shared" si="34"/>
        <v>4.8463001902473213E-2</v>
      </c>
      <c r="G74" s="40">
        <f t="shared" si="35"/>
        <v>9</v>
      </c>
      <c r="H74" s="44">
        <f t="shared" si="36"/>
        <v>45745</v>
      </c>
      <c r="I74" s="32">
        <v>17827.8</v>
      </c>
      <c r="J74" s="23">
        <f t="shared" si="37"/>
        <v>-6.4314655805848941E-2</v>
      </c>
      <c r="L74" s="40">
        <f t="shared" si="38"/>
        <v>9</v>
      </c>
      <c r="M74" s="44">
        <f t="shared" si="39"/>
        <v>45745</v>
      </c>
      <c r="N74" s="32">
        <v>2073</v>
      </c>
      <c r="O74" s="23">
        <f t="shared" si="40"/>
        <v>9.6571704490577837E-4</v>
      </c>
    </row>
    <row r="75" spans="2:15" x14ac:dyDescent="0.3">
      <c r="B75" s="40">
        <f t="shared" si="32"/>
        <v>10</v>
      </c>
      <c r="C75" s="44">
        <f t="shared" si="33"/>
        <v>46110</v>
      </c>
      <c r="D75" s="32">
        <v>1250.5999999999999</v>
      </c>
      <c r="E75" s="23">
        <f t="shared" si="34"/>
        <v>-0.2037691401649</v>
      </c>
      <c r="G75" s="40">
        <f t="shared" si="35"/>
        <v>10</v>
      </c>
      <c r="H75" s="44">
        <f t="shared" si="36"/>
        <v>46110</v>
      </c>
      <c r="I75" s="32">
        <v>19430.400000000001</v>
      </c>
      <c r="J75" s="23">
        <f t="shared" si="37"/>
        <v>8.9893312691414762E-2</v>
      </c>
      <c r="L75" s="40">
        <f t="shared" si="38"/>
        <v>10</v>
      </c>
      <c r="M75" s="44">
        <f t="shared" si="39"/>
        <v>46110</v>
      </c>
      <c r="N75" s="32">
        <v>2024</v>
      </c>
      <c r="O75" s="23">
        <f t="shared" si="40"/>
        <v>-2.3637240713941132E-2</v>
      </c>
    </row>
    <row r="76" spans="2:15" x14ac:dyDescent="0.3">
      <c r="B76" s="45">
        <f t="shared" si="32"/>
        <v>11</v>
      </c>
      <c r="C76" s="46">
        <f t="shared" si="33"/>
        <v>46475</v>
      </c>
      <c r="D76" s="47">
        <f t="array" ref="D76">FORECAST(B76,$D$66:$D$75,$B$66:$B$75)</f>
        <v>1827.0406666666668</v>
      </c>
      <c r="E76" s="48">
        <f t="shared" si="34"/>
        <v>0.46093128631590186</v>
      </c>
      <c r="G76" s="45">
        <f t="shared" si="35"/>
        <v>11</v>
      </c>
      <c r="H76" s="46">
        <f t="shared" si="36"/>
        <v>46475</v>
      </c>
      <c r="I76" s="47">
        <f t="array" ref="I76">FORECAST(G76,$I$66:$I$75,$G$66:$G$75)</f>
        <v>21053.206666666665</v>
      </c>
      <c r="J76" s="48">
        <f t="shared" si="37"/>
        <v>8.3518953118137729E-2</v>
      </c>
      <c r="L76" s="45">
        <f t="shared" si="38"/>
        <v>11</v>
      </c>
      <c r="M76" s="46">
        <f t="shared" si="39"/>
        <v>46475</v>
      </c>
      <c r="N76" s="47">
        <f t="array" ref="N76">FORECAST(L76,$N$66:$N$75,$L$66:$L$75)</f>
        <v>2369.4666666666667</v>
      </c>
      <c r="O76" s="48">
        <f t="shared" si="40"/>
        <v>0.1706851119894599</v>
      </c>
    </row>
    <row r="77" spans="2:15" x14ac:dyDescent="0.3">
      <c r="B77" s="45">
        <f t="shared" si="32"/>
        <v>12</v>
      </c>
      <c r="C77" s="46">
        <f t="shared" si="33"/>
        <v>46840</v>
      </c>
      <c r="D77" s="47">
        <f t="array" ref="D77">FORECAST(B77,$D$66:$D$75,$B$66:$B$75)</f>
        <v>1950.4202424242426</v>
      </c>
      <c r="E77" s="48">
        <f t="shared" si="34"/>
        <v>6.7529737026967629E-2</v>
      </c>
      <c r="G77" s="45">
        <f t="shared" si="35"/>
        <v>12</v>
      </c>
      <c r="H77" s="46">
        <f t="shared" si="36"/>
        <v>46840</v>
      </c>
      <c r="I77" s="47">
        <f t="array" ref="I77">FORECAST(G77,$I$66:$I$75,$G$66:$G$75)</f>
        <v>22574.43515151515</v>
      </c>
      <c r="J77" s="48">
        <f t="shared" si="37"/>
        <v>7.225637922687711E-2</v>
      </c>
      <c r="L77" s="45">
        <f t="shared" si="38"/>
        <v>12</v>
      </c>
      <c r="M77" s="46">
        <f t="shared" si="39"/>
        <v>46840</v>
      </c>
      <c r="N77" s="47">
        <f t="array" ref="N77">FORECAST(L77,$N$66:$N$75,$L$66:$L$75)</f>
        <v>2455.1333333333332</v>
      </c>
      <c r="O77" s="48">
        <f t="shared" si="40"/>
        <v>3.6154408868380949E-2</v>
      </c>
    </row>
    <row r="78" spans="2:15" x14ac:dyDescent="0.3">
      <c r="B78" s="45">
        <f t="shared" si="32"/>
        <v>13</v>
      </c>
      <c r="C78" s="46">
        <f t="shared" si="33"/>
        <v>47205</v>
      </c>
      <c r="D78" s="47">
        <f t="array" ref="D78">FORECAST(B78,$D$66:$D$75,$B$66:$B$75)</f>
        <v>2073.7998181818184</v>
      </c>
      <c r="E78" s="48">
        <f t="shared" si="34"/>
        <v>6.3257944659261378E-2</v>
      </c>
      <c r="G78" s="45">
        <f t="shared" si="35"/>
        <v>13</v>
      </c>
      <c r="H78" s="46">
        <f t="shared" si="36"/>
        <v>47205</v>
      </c>
      <c r="I78" s="47">
        <f t="array" ref="I78">FORECAST(G78,$I$66:$I$75,$G$66:$G$75)</f>
        <v>24095.663636363635</v>
      </c>
      <c r="J78" s="48">
        <f t="shared" si="37"/>
        <v>6.7387222521329893E-2</v>
      </c>
      <c r="L78" s="45">
        <f t="shared" si="38"/>
        <v>13</v>
      </c>
      <c r="M78" s="46">
        <f t="shared" si="39"/>
        <v>47205</v>
      </c>
      <c r="N78" s="47">
        <f t="array" ref="N78">FORECAST(L78,$N$66:$N$75,$L$66:$L$75)</f>
        <v>2540.8000000000002</v>
      </c>
      <c r="O78" s="48">
        <f t="shared" si="40"/>
        <v>3.4892877508349907E-2</v>
      </c>
    </row>
    <row r="79" spans="2:15" x14ac:dyDescent="0.3">
      <c r="B79" s="45">
        <f t="shared" si="32"/>
        <v>14</v>
      </c>
      <c r="C79" s="46">
        <f t="shared" si="33"/>
        <v>47570</v>
      </c>
      <c r="D79" s="47">
        <f t="array" ref="D79">FORECAST(B79,$D$66:$D$75,$B$66:$B$75)</f>
        <v>2197.1793939393938</v>
      </c>
      <c r="E79" s="48">
        <f t="shared" si="34"/>
        <v>5.9494448150616108E-2</v>
      </c>
      <c r="G79" s="45">
        <f t="shared" si="35"/>
        <v>14</v>
      </c>
      <c r="H79" s="46">
        <f t="shared" si="36"/>
        <v>47570</v>
      </c>
      <c r="I79" s="47">
        <f t="array" ref="I79">FORECAST(G79,$I$66:$I$75,$G$66:$G$75)</f>
        <v>25616.89212121212</v>
      </c>
      <c r="J79" s="48">
        <f t="shared" si="37"/>
        <v>6.3132873524709421E-2</v>
      </c>
      <c r="L79" s="45">
        <f t="shared" si="38"/>
        <v>14</v>
      </c>
      <c r="M79" s="46">
        <f t="shared" si="39"/>
        <v>47570</v>
      </c>
      <c r="N79" s="47">
        <f t="array" ref="N79">FORECAST(L79,$N$66:$N$75,$L$66:$L$75)</f>
        <v>2626.4666666666667</v>
      </c>
      <c r="O79" s="48">
        <f t="shared" si="40"/>
        <v>3.3716414777497761E-2</v>
      </c>
    </row>
    <row r="80" spans="2:15" x14ac:dyDescent="0.3">
      <c r="B80" s="45">
        <f t="shared" si="32"/>
        <v>15</v>
      </c>
      <c r="C80" s="46">
        <f t="shared" si="33"/>
        <v>47935</v>
      </c>
      <c r="D80" s="47">
        <f t="array" ref="D80">FORECAST(B80,$D$66:$D$75,$B$66:$B$75)</f>
        <v>2320.5589696969696</v>
      </c>
      <c r="E80" s="48">
        <f t="shared" si="34"/>
        <v>5.6153619544175859E-2</v>
      </c>
      <c r="G80" s="45">
        <f t="shared" si="35"/>
        <v>15</v>
      </c>
      <c r="H80" s="46">
        <f t="shared" si="36"/>
        <v>47935</v>
      </c>
      <c r="I80" s="47">
        <f t="array" ref="I80">FORECAST(G80,$I$66:$I$75,$G$66:$G$75)</f>
        <v>27138.120606060605</v>
      </c>
      <c r="J80" s="48">
        <f t="shared" si="37"/>
        <v>5.9383803376711342E-2</v>
      </c>
      <c r="L80" s="45">
        <f t="shared" si="38"/>
        <v>15</v>
      </c>
      <c r="M80" s="46">
        <f t="shared" si="39"/>
        <v>47935</v>
      </c>
      <c r="N80" s="47">
        <f t="array" ref="N80">FORECAST(L80,$N$66:$N$75,$L$66:$L$75)</f>
        <v>2712.1333333333332</v>
      </c>
      <c r="O80" s="48">
        <f t="shared" si="40"/>
        <v>3.2616696702794545E-2</v>
      </c>
    </row>
    <row r="83" spans="2:15" ht="25.8" x14ac:dyDescent="0.5">
      <c r="B83" s="41" t="s">
        <v>142</v>
      </c>
      <c r="G83" s="41" t="s">
        <v>144</v>
      </c>
      <c r="H83" s="42"/>
      <c r="I83" s="22"/>
      <c r="L83" s="41" t="s">
        <v>146</v>
      </c>
      <c r="M83" s="42"/>
      <c r="N83" s="22"/>
      <c r="O83" s="22"/>
    </row>
    <row r="84" spans="2:15" x14ac:dyDescent="0.3">
      <c r="G84" s="40"/>
      <c r="H84" s="42"/>
      <c r="I84" s="22"/>
      <c r="L84" s="40"/>
      <c r="M84" s="42"/>
      <c r="N84" s="22"/>
      <c r="O84" s="22"/>
    </row>
    <row r="85" spans="2:15" x14ac:dyDescent="0.3">
      <c r="B85" s="8" t="s">
        <v>119</v>
      </c>
      <c r="C85" s="43" t="s">
        <v>120</v>
      </c>
      <c r="D85" s="8" t="s">
        <v>142</v>
      </c>
      <c r="E85" s="8" t="s">
        <v>143</v>
      </c>
      <c r="G85" s="8" t="s">
        <v>119</v>
      </c>
      <c r="H85" s="43" t="s">
        <v>120</v>
      </c>
      <c r="I85" s="8" t="s">
        <v>144</v>
      </c>
      <c r="J85" s="8" t="s">
        <v>145</v>
      </c>
      <c r="L85" s="8" t="s">
        <v>119</v>
      </c>
      <c r="M85" s="43" t="s">
        <v>120</v>
      </c>
      <c r="N85" s="8" t="s">
        <v>146</v>
      </c>
      <c r="O85" s="8" t="s">
        <v>147</v>
      </c>
    </row>
    <row r="86" spans="2:15" x14ac:dyDescent="0.3">
      <c r="B86" s="40">
        <v>1</v>
      </c>
      <c r="C86" s="44">
        <f>'Data Sheet'!$B$16</f>
        <v>42825</v>
      </c>
      <c r="D86" s="32">
        <f t="array" ref="D86:D95">TRANSPOSE('Balance Sheet'!B5:K5)</f>
        <v>67838</v>
      </c>
      <c r="G86" s="40">
        <v>1</v>
      </c>
      <c r="H86" s="44">
        <f>'Data Sheet'!$B$16</f>
        <v>42825</v>
      </c>
      <c r="I86" s="32">
        <f t="array" ref="I86:I95">TRANSPOSE('Balance Sheet'!B6:K6)</f>
        <v>0</v>
      </c>
      <c r="L86" s="40">
        <v>1</v>
      </c>
      <c r="M86" s="44">
        <f>'Data Sheet'!$B$16</f>
        <v>42825</v>
      </c>
      <c r="N86" s="32">
        <f t="array" ref="N86:N95">TRANSPOSE('Balance Sheet'!B7:K7)</f>
        <v>14166</v>
      </c>
      <c r="O86" s="22"/>
    </row>
    <row r="87" spans="2:15" x14ac:dyDescent="0.3">
      <c r="B87" s="40">
        <f>B86+1</f>
        <v>2</v>
      </c>
      <c r="C87" s="44">
        <f>C86+365</f>
        <v>43190</v>
      </c>
      <c r="D87" s="32">
        <v>63835</v>
      </c>
      <c r="E87" s="23">
        <f>IFERROR(D87/D86-1,0)</f>
        <v>-5.90082254783455E-2</v>
      </c>
      <c r="G87" s="40">
        <f>G86+1</f>
        <v>2</v>
      </c>
      <c r="H87" s="44">
        <f>H86+365</f>
        <v>43190</v>
      </c>
      <c r="I87" s="32">
        <v>0</v>
      </c>
      <c r="J87" s="23">
        <f>IFERROR(I87/I86-1,0)</f>
        <v>0</v>
      </c>
      <c r="L87" s="40">
        <f>L86+1</f>
        <v>2</v>
      </c>
      <c r="M87" s="44">
        <f>M86+365</f>
        <v>43190</v>
      </c>
      <c r="N87" s="32">
        <v>14426</v>
      </c>
      <c r="O87" s="23">
        <f>IFERROR(N87/N86-1,0)</f>
        <v>1.8353804884935654E-2</v>
      </c>
    </row>
    <row r="88" spans="2:15" x14ac:dyDescent="0.3">
      <c r="B88" s="40">
        <f t="shared" ref="B88:B100" si="41">B87+1</f>
        <v>3</v>
      </c>
      <c r="C88" s="44">
        <f t="shared" ref="C88:C100" si="42">C87+365</f>
        <v>43555</v>
      </c>
      <c r="D88" s="32">
        <v>62778</v>
      </c>
      <c r="E88" s="23">
        <f t="shared" ref="E88:E100" si="43">IFERROR(D88/D87-1,0)</f>
        <v>-1.6558314404323649E-2</v>
      </c>
      <c r="G88" s="40">
        <f t="shared" ref="G88:G100" si="44">G87+1</f>
        <v>3</v>
      </c>
      <c r="H88" s="44">
        <f t="shared" ref="H88:H100" si="45">H87+365</f>
        <v>43555</v>
      </c>
      <c r="I88" s="32">
        <v>0</v>
      </c>
      <c r="J88" s="23">
        <f t="shared" ref="J88:J100" si="46">IFERROR(I88/I87-1,0)</f>
        <v>0</v>
      </c>
      <c r="L88" s="40">
        <f t="shared" ref="L88:L100" si="47">L87+1</f>
        <v>3</v>
      </c>
      <c r="M88" s="44">
        <f t="shared" ref="M88:M100" si="48">M87+365</f>
        <v>43555</v>
      </c>
      <c r="N88" s="32">
        <v>19118</v>
      </c>
      <c r="O88" s="23">
        <f t="shared" ref="O88:O100" si="49">IFERROR(N88/N87-1,0)</f>
        <v>0.32524608346041872</v>
      </c>
    </row>
    <row r="89" spans="2:15" x14ac:dyDescent="0.3">
      <c r="B89" s="40">
        <f t="shared" si="41"/>
        <v>4</v>
      </c>
      <c r="C89" s="44">
        <f t="shared" si="42"/>
        <v>43920</v>
      </c>
      <c r="D89" s="32">
        <v>63328</v>
      </c>
      <c r="E89" s="23">
        <f t="shared" si="43"/>
        <v>8.761030934403724E-3</v>
      </c>
      <c r="G89" s="40">
        <f t="shared" si="44"/>
        <v>4</v>
      </c>
      <c r="H89" s="44">
        <f t="shared" si="45"/>
        <v>43920</v>
      </c>
      <c r="I89" s="32">
        <v>4633</v>
      </c>
      <c r="J89" s="23">
        <f t="shared" si="46"/>
        <v>0</v>
      </c>
      <c r="L89" s="40">
        <f t="shared" si="47"/>
        <v>4</v>
      </c>
      <c r="M89" s="44">
        <f t="shared" si="48"/>
        <v>43920</v>
      </c>
      <c r="N89" s="32">
        <v>21717</v>
      </c>
      <c r="O89" s="23">
        <f t="shared" si="49"/>
        <v>0.13594518255047605</v>
      </c>
    </row>
    <row r="90" spans="2:15" x14ac:dyDescent="0.3">
      <c r="B90" s="40">
        <f t="shared" si="41"/>
        <v>5</v>
      </c>
      <c r="C90" s="44">
        <f t="shared" si="42"/>
        <v>44285</v>
      </c>
      <c r="D90" s="32">
        <v>74227</v>
      </c>
      <c r="E90" s="23">
        <f t="shared" si="43"/>
        <v>0.17210396664982319</v>
      </c>
      <c r="G90" s="40">
        <f t="shared" si="44"/>
        <v>5</v>
      </c>
      <c r="H90" s="44">
        <f t="shared" si="45"/>
        <v>44285</v>
      </c>
      <c r="I90" s="32">
        <v>5325</v>
      </c>
      <c r="J90" s="23">
        <f t="shared" si="46"/>
        <v>0.14936326354413976</v>
      </c>
      <c r="L90" s="40">
        <f t="shared" si="47"/>
        <v>5</v>
      </c>
      <c r="M90" s="44">
        <f t="shared" si="48"/>
        <v>44285</v>
      </c>
      <c r="N90" s="32">
        <v>25835</v>
      </c>
      <c r="O90" s="23">
        <f t="shared" si="49"/>
        <v>0.18962103421282861</v>
      </c>
    </row>
    <row r="91" spans="2:15" x14ac:dyDescent="0.3">
      <c r="B91" s="40">
        <f t="shared" si="41"/>
        <v>6</v>
      </c>
      <c r="C91" s="44">
        <f t="shared" si="42"/>
        <v>44650</v>
      </c>
      <c r="D91" s="32">
        <v>73252</v>
      </c>
      <c r="E91" s="23">
        <f t="shared" si="43"/>
        <v>-1.3135382003853002E-2</v>
      </c>
      <c r="G91" s="40">
        <f t="shared" si="44"/>
        <v>6</v>
      </c>
      <c r="H91" s="44">
        <f t="shared" si="45"/>
        <v>44650</v>
      </c>
      <c r="I91" s="32">
        <v>5474</v>
      </c>
      <c r="J91" s="23">
        <f t="shared" si="46"/>
        <v>2.7981220657276928E-2</v>
      </c>
      <c r="L91" s="40">
        <f t="shared" si="47"/>
        <v>6</v>
      </c>
      <c r="M91" s="44">
        <f t="shared" si="48"/>
        <v>44650</v>
      </c>
      <c r="N91" s="32">
        <v>35905</v>
      </c>
      <c r="O91" s="23">
        <f t="shared" si="49"/>
        <v>0.38978130443197223</v>
      </c>
    </row>
    <row r="92" spans="2:15" x14ac:dyDescent="0.3">
      <c r="B92" s="40">
        <f t="shared" si="41"/>
        <v>7</v>
      </c>
      <c r="C92" s="44">
        <f t="shared" si="42"/>
        <v>45015</v>
      </c>
      <c r="D92" s="32">
        <v>73338</v>
      </c>
      <c r="E92" s="23">
        <f t="shared" si="43"/>
        <v>1.1740293780375666E-3</v>
      </c>
      <c r="G92" s="40">
        <f t="shared" si="44"/>
        <v>7</v>
      </c>
      <c r="H92" s="44">
        <f t="shared" si="45"/>
        <v>45015</v>
      </c>
      <c r="I92" s="32">
        <v>8299</v>
      </c>
      <c r="J92" s="23">
        <f t="shared" si="46"/>
        <v>0.51607599561563755</v>
      </c>
      <c r="L92" s="40">
        <f t="shared" si="47"/>
        <v>7</v>
      </c>
      <c r="M92" s="44">
        <f t="shared" si="48"/>
        <v>45015</v>
      </c>
      <c r="N92" s="32">
        <v>40890</v>
      </c>
      <c r="O92" s="23">
        <f t="shared" si="49"/>
        <v>0.13883860186603547</v>
      </c>
    </row>
    <row r="93" spans="2:15" x14ac:dyDescent="0.3">
      <c r="B93" s="40">
        <f t="shared" si="41"/>
        <v>8</v>
      </c>
      <c r="C93" s="44">
        <f t="shared" si="42"/>
        <v>45380</v>
      </c>
      <c r="D93" s="32">
        <v>86045</v>
      </c>
      <c r="E93" s="23">
        <f t="shared" si="43"/>
        <v>0.1732662466933923</v>
      </c>
      <c r="G93" s="40">
        <f t="shared" si="44"/>
        <v>8</v>
      </c>
      <c r="H93" s="44">
        <f t="shared" si="45"/>
        <v>45380</v>
      </c>
      <c r="I93" s="32">
        <v>8359</v>
      </c>
      <c r="J93" s="23">
        <f t="shared" si="46"/>
        <v>7.2297867212918199E-3</v>
      </c>
      <c r="L93" s="40">
        <f t="shared" si="47"/>
        <v>8</v>
      </c>
      <c r="M93" s="44">
        <f t="shared" si="48"/>
        <v>45380</v>
      </c>
      <c r="N93" s="32">
        <v>39545</v>
      </c>
      <c r="O93" s="23">
        <f t="shared" si="49"/>
        <v>-3.2893127904133013E-2</v>
      </c>
    </row>
    <row r="94" spans="2:15" x14ac:dyDescent="0.3">
      <c r="B94" s="40">
        <f t="shared" si="41"/>
        <v>9</v>
      </c>
      <c r="C94" s="44">
        <f t="shared" si="42"/>
        <v>45745</v>
      </c>
      <c r="D94" s="32">
        <v>93745</v>
      </c>
      <c r="E94" s="23">
        <f t="shared" si="43"/>
        <v>8.9488058574001883E-2</v>
      </c>
      <c r="G94" s="40">
        <f t="shared" si="44"/>
        <v>9</v>
      </c>
      <c r="H94" s="44">
        <f t="shared" si="45"/>
        <v>45745</v>
      </c>
      <c r="I94" s="32">
        <v>8227</v>
      </c>
      <c r="J94" s="23">
        <f t="shared" si="46"/>
        <v>-1.5791362603182146E-2</v>
      </c>
      <c r="L94" s="40">
        <f t="shared" si="47"/>
        <v>9</v>
      </c>
      <c r="M94" s="44">
        <f t="shared" si="48"/>
        <v>45745</v>
      </c>
      <c r="N94" s="32">
        <v>43750</v>
      </c>
      <c r="O94" s="23">
        <f t="shared" si="49"/>
        <v>0.10633455556960425</v>
      </c>
    </row>
    <row r="95" spans="2:15" x14ac:dyDescent="0.3">
      <c r="B95" s="40">
        <f t="shared" si="41"/>
        <v>10</v>
      </c>
      <c r="C95" s="44">
        <f t="shared" si="42"/>
        <v>46110</v>
      </c>
      <c r="D95" s="32">
        <v>90828</v>
      </c>
      <c r="E95" s="23">
        <f t="shared" si="43"/>
        <v>-3.1116326204064237E-2</v>
      </c>
      <c r="G95" s="40">
        <f t="shared" si="44"/>
        <v>10</v>
      </c>
      <c r="H95" s="44">
        <f t="shared" si="45"/>
        <v>46110</v>
      </c>
      <c r="I95" s="32">
        <v>9176</v>
      </c>
      <c r="J95" s="23">
        <f t="shared" si="46"/>
        <v>0.11535189011790448</v>
      </c>
      <c r="L95" s="40">
        <f t="shared" si="47"/>
        <v>10</v>
      </c>
      <c r="M95" s="44">
        <f t="shared" si="48"/>
        <v>46110</v>
      </c>
      <c r="N95" s="32">
        <v>52260</v>
      </c>
      <c r="O95" s="23">
        <f t="shared" si="49"/>
        <v>0.19451428571428564</v>
      </c>
    </row>
    <row r="96" spans="2:15" x14ac:dyDescent="0.3">
      <c r="B96" s="45">
        <f t="shared" si="41"/>
        <v>11</v>
      </c>
      <c r="C96" s="46">
        <f t="shared" si="42"/>
        <v>46475</v>
      </c>
      <c r="D96" s="47">
        <f t="array" ref="D96">FORECAST(B96,$D$86:$D$95,$B$86:$B$95)</f>
        <v>93643.733333333337</v>
      </c>
      <c r="E96" s="48">
        <f t="shared" si="43"/>
        <v>3.1000719308289737E-2</v>
      </c>
      <c r="G96" s="45">
        <f t="shared" si="44"/>
        <v>11</v>
      </c>
      <c r="H96" s="46">
        <f t="shared" si="45"/>
        <v>46475</v>
      </c>
      <c r="I96" s="47">
        <f t="array" ref="I96">FORECAST(G96,$I$86:$I$95,$G$86:$G$95)</f>
        <v>11386.466666666667</v>
      </c>
      <c r="J96" s="48">
        <f t="shared" si="46"/>
        <v>0.24089654170299335</v>
      </c>
      <c r="L96" s="45">
        <f t="shared" si="47"/>
        <v>11</v>
      </c>
      <c r="M96" s="46">
        <f t="shared" si="48"/>
        <v>46475</v>
      </c>
      <c r="N96" s="47">
        <f t="array" ref="N96">FORECAST(L96,$N$86:$N$95,$L$86:$L$95)</f>
        <v>54689.133333333331</v>
      </c>
      <c r="O96" s="48">
        <f t="shared" si="49"/>
        <v>4.648169409363434E-2</v>
      </c>
    </row>
    <row r="97" spans="2:15" x14ac:dyDescent="0.3">
      <c r="B97" s="45">
        <f t="shared" si="41"/>
        <v>12</v>
      </c>
      <c r="C97" s="46">
        <f t="shared" si="42"/>
        <v>46840</v>
      </c>
      <c r="D97" s="47">
        <f t="array" ref="D97">FORECAST(B97,$D$86:$D$95,$B$86:$B$95)</f>
        <v>97047.793939393945</v>
      </c>
      <c r="E97" s="48">
        <f t="shared" si="43"/>
        <v>3.6351184269250991E-2</v>
      </c>
      <c r="G97" s="45">
        <f t="shared" si="44"/>
        <v>12</v>
      </c>
      <c r="H97" s="46">
        <f t="shared" si="45"/>
        <v>46840</v>
      </c>
      <c r="I97" s="47">
        <f t="array" ref="I97">FORECAST(G97,$I$86:$I$95,$G$86:$G$95)</f>
        <v>12556.860606060607</v>
      </c>
      <c r="J97" s="48">
        <f t="shared" si="46"/>
        <v>0.10278815840388944</v>
      </c>
      <c r="L97" s="45">
        <f t="shared" si="47"/>
        <v>12</v>
      </c>
      <c r="M97" s="46">
        <f t="shared" si="48"/>
        <v>46840</v>
      </c>
      <c r="N97" s="47">
        <f t="array" ref="N97">FORECAST(L97,$N$86:$N$95,$L$86:$L$95)</f>
        <v>59039.666666666672</v>
      </c>
      <c r="O97" s="48">
        <f t="shared" si="49"/>
        <v>7.9550233623498778E-2</v>
      </c>
    </row>
    <row r="98" spans="2:15" x14ac:dyDescent="0.3">
      <c r="B98" s="45">
        <f t="shared" si="41"/>
        <v>13</v>
      </c>
      <c r="C98" s="46">
        <f t="shared" si="42"/>
        <v>47205</v>
      </c>
      <c r="D98" s="47">
        <f t="array" ref="D98">FORECAST(B98,$D$86:$D$95,$B$86:$B$95)</f>
        <v>100451.85454545455</v>
      </c>
      <c r="E98" s="48">
        <f t="shared" si="43"/>
        <v>3.5076125565372873E-2</v>
      </c>
      <c r="G98" s="45">
        <f t="shared" si="44"/>
        <v>13</v>
      </c>
      <c r="H98" s="46">
        <f t="shared" si="45"/>
        <v>47205</v>
      </c>
      <c r="I98" s="47">
        <f t="array" ref="I98">FORECAST(G98,$I$86:$I$95,$G$86:$G$95)</f>
        <v>13727.254545454543</v>
      </c>
      <c r="J98" s="48">
        <f t="shared" si="46"/>
        <v>9.3207528227958747E-2</v>
      </c>
      <c r="L98" s="45">
        <f t="shared" si="47"/>
        <v>13</v>
      </c>
      <c r="M98" s="46">
        <f t="shared" si="48"/>
        <v>47205</v>
      </c>
      <c r="N98" s="47">
        <f t="array" ref="N98">FORECAST(L98,$N$86:$N$95,$L$86:$L$95)</f>
        <v>63390.200000000012</v>
      </c>
      <c r="O98" s="48">
        <f t="shared" si="49"/>
        <v>7.3688311248369942E-2</v>
      </c>
    </row>
    <row r="99" spans="2:15" x14ac:dyDescent="0.3">
      <c r="B99" s="45">
        <f t="shared" si="41"/>
        <v>14</v>
      </c>
      <c r="C99" s="46">
        <f t="shared" si="42"/>
        <v>47570</v>
      </c>
      <c r="D99" s="47">
        <f t="array" ref="D99">FORECAST(B99,$D$86:$D$95,$B$86:$B$95)</f>
        <v>103855.91515151515</v>
      </c>
      <c r="E99" s="48">
        <f t="shared" si="43"/>
        <v>3.3887483924154527E-2</v>
      </c>
      <c r="G99" s="45">
        <f t="shared" si="44"/>
        <v>14</v>
      </c>
      <c r="H99" s="46">
        <f t="shared" si="45"/>
        <v>47570</v>
      </c>
      <c r="I99" s="47">
        <f t="array" ref="I99">FORECAST(G99,$I$86:$I$95,$G$86:$G$95)</f>
        <v>14897.648484848483</v>
      </c>
      <c r="J99" s="48">
        <f t="shared" si="46"/>
        <v>8.5260598579159241E-2</v>
      </c>
      <c r="L99" s="45">
        <f t="shared" si="47"/>
        <v>14</v>
      </c>
      <c r="M99" s="46">
        <f t="shared" si="48"/>
        <v>47570</v>
      </c>
      <c r="N99" s="47">
        <f t="array" ref="N99">FORECAST(L99,$N$86:$N$95,$L$86:$L$95)</f>
        <v>67740.733333333337</v>
      </c>
      <c r="O99" s="48">
        <f t="shared" si="49"/>
        <v>6.8631008157937989E-2</v>
      </c>
    </row>
    <row r="100" spans="2:15" x14ac:dyDescent="0.3">
      <c r="B100" s="45">
        <f t="shared" si="41"/>
        <v>15</v>
      </c>
      <c r="C100" s="46">
        <f t="shared" si="42"/>
        <v>47935</v>
      </c>
      <c r="D100" s="47">
        <f t="array" ref="D100">FORECAST(B100,$D$86:$D$95,$B$86:$B$95)</f>
        <v>107259.97575757575</v>
      </c>
      <c r="E100" s="48">
        <f t="shared" si="43"/>
        <v>3.2776761931127663E-2</v>
      </c>
      <c r="G100" s="45">
        <f t="shared" si="44"/>
        <v>15</v>
      </c>
      <c r="H100" s="46">
        <f t="shared" si="45"/>
        <v>47935</v>
      </c>
      <c r="I100" s="47">
        <f t="array" ref="I100">FORECAST(G100,$I$86:$I$95,$G$86:$G$95)</f>
        <v>16068.042424242423</v>
      </c>
      <c r="J100" s="48">
        <f t="shared" si="46"/>
        <v>7.8562327509893892E-2</v>
      </c>
      <c r="L100" s="45">
        <f t="shared" si="47"/>
        <v>15</v>
      </c>
      <c r="M100" s="46">
        <f t="shared" si="48"/>
        <v>47935</v>
      </c>
      <c r="N100" s="47">
        <f t="array" ref="N100">FORECAST(L100,$N$86:$N$95,$L$86:$L$95)</f>
        <v>72091.266666666677</v>
      </c>
      <c r="O100" s="48">
        <f t="shared" si="49"/>
        <v>6.4223298438851772E-2</v>
      </c>
    </row>
    <row r="103" spans="2:15" ht="25.8" x14ac:dyDescent="0.5">
      <c r="B103" s="41" t="s">
        <v>76</v>
      </c>
      <c r="G103" s="41" t="s">
        <v>150</v>
      </c>
      <c r="H103" s="42"/>
      <c r="I103" s="22"/>
      <c r="L103" s="41" t="s">
        <v>152</v>
      </c>
      <c r="M103" s="42"/>
      <c r="N103" s="22"/>
      <c r="O103" s="22"/>
    </row>
    <row r="104" spans="2:15" x14ac:dyDescent="0.3">
      <c r="G104" s="40"/>
      <c r="H104" s="42"/>
      <c r="I104" s="22"/>
      <c r="L104" s="40"/>
      <c r="M104" s="42"/>
      <c r="N104" s="22"/>
      <c r="O104" s="22"/>
    </row>
    <row r="105" spans="2:15" x14ac:dyDescent="0.3">
      <c r="B105" s="8" t="s">
        <v>119</v>
      </c>
      <c r="C105" s="43" t="s">
        <v>120</v>
      </c>
      <c r="D105" s="8" t="s">
        <v>148</v>
      </c>
      <c r="E105" s="8" t="s">
        <v>149</v>
      </c>
      <c r="G105" s="8" t="s">
        <v>119</v>
      </c>
      <c r="H105" s="43" t="s">
        <v>120</v>
      </c>
      <c r="I105" s="8" t="s">
        <v>150</v>
      </c>
      <c r="J105" s="8" t="s">
        <v>151</v>
      </c>
      <c r="L105" s="8" t="s">
        <v>119</v>
      </c>
      <c r="M105" s="43" t="s">
        <v>120</v>
      </c>
      <c r="N105" s="8" t="s">
        <v>152</v>
      </c>
      <c r="O105" s="8" t="s">
        <v>153</v>
      </c>
    </row>
    <row r="106" spans="2:15" x14ac:dyDescent="0.3">
      <c r="B106" s="40">
        <v>1</v>
      </c>
      <c r="C106" s="44">
        <f>'Data Sheet'!$B$16</f>
        <v>42825</v>
      </c>
      <c r="D106" s="32">
        <f t="array" ref="D106:D115">TRANSPOSE('Balance Sheet'!B10:K10)</f>
        <v>14179</v>
      </c>
      <c r="G106" s="40">
        <v>1</v>
      </c>
      <c r="H106" s="44">
        <f>'Data Sheet'!$B$16</f>
        <v>42825</v>
      </c>
      <c r="I106" s="32">
        <f t="array" ref="I106:I115">TRANSPOSE('Balance Sheet'!B12:K12)</f>
        <v>16423</v>
      </c>
      <c r="L106" s="40">
        <v>1</v>
      </c>
      <c r="M106" s="44">
        <f>'Data Sheet'!$B$16</f>
        <v>42825</v>
      </c>
      <c r="N106" s="32">
        <f t="array" ref="N106:N115">TRANSPOSE('Balance Sheet'!B13:K13)</f>
        <v>16234</v>
      </c>
      <c r="O106" s="22"/>
    </row>
    <row r="107" spans="2:15" x14ac:dyDescent="0.3">
      <c r="B107" s="40">
        <f>B106+1</f>
        <v>2</v>
      </c>
      <c r="C107" s="44">
        <f>C106+365</f>
        <v>43190</v>
      </c>
      <c r="D107" s="32">
        <v>12574</v>
      </c>
      <c r="E107" s="23">
        <f>IFERROR(D107/D106-1,0)</f>
        <v>-0.11319557091473309</v>
      </c>
      <c r="G107" s="40">
        <f>G106+1</f>
        <v>2</v>
      </c>
      <c r="H107" s="44">
        <f>H106+365</f>
        <v>43190</v>
      </c>
      <c r="I107" s="32">
        <v>12163</v>
      </c>
      <c r="J107" s="23">
        <f>IFERROR(I107/I106-1,0)</f>
        <v>-0.25939231565487431</v>
      </c>
      <c r="L107" s="40">
        <f>L106+1</f>
        <v>2</v>
      </c>
      <c r="M107" s="44">
        <f>M106+365</f>
        <v>43190</v>
      </c>
      <c r="N107" s="32">
        <v>20046</v>
      </c>
      <c r="O107" s="23">
        <f>IFERROR(N107/N106-1,0)</f>
        <v>0.23481581865221135</v>
      </c>
    </row>
    <row r="108" spans="2:15" x14ac:dyDescent="0.3">
      <c r="B108" s="40">
        <f t="shared" ref="B108:B120" si="50">B107+1</f>
        <v>3</v>
      </c>
      <c r="C108" s="44">
        <f t="shared" ref="C108:C120" si="51">C107+365</f>
        <v>43555</v>
      </c>
      <c r="D108" s="32">
        <v>15710</v>
      </c>
      <c r="E108" s="23">
        <f t="shared" ref="E108:E120" si="52">IFERROR(D108/D107-1,0)</f>
        <v>0.24940353109591218</v>
      </c>
      <c r="G108" s="40">
        <f t="shared" ref="G108:G120" si="53">G107+1</f>
        <v>3</v>
      </c>
      <c r="H108" s="44">
        <f t="shared" ref="H108:H120" si="54">H107+365</f>
        <v>43555</v>
      </c>
      <c r="I108" s="32">
        <v>11261</v>
      </c>
      <c r="J108" s="23">
        <f t="shared" ref="J108:J120" si="55">IFERROR(I108/I107-1,0)</f>
        <v>-7.415933569020805E-2</v>
      </c>
      <c r="L108" s="40">
        <f t="shared" ref="L108:L120" si="56">L107+1</f>
        <v>3</v>
      </c>
      <c r="M108" s="44">
        <f t="shared" ref="M108:M120" si="57">M107+365</f>
        <v>43555</v>
      </c>
      <c r="N108" s="32">
        <v>21312</v>
      </c>
      <c r="O108" s="23">
        <f t="shared" ref="O108:O120" si="58">IFERROR(N108/N107-1,0)</f>
        <v>6.3154744088596226E-2</v>
      </c>
    </row>
    <row r="109" spans="2:15" x14ac:dyDescent="0.3">
      <c r="B109" s="40">
        <f t="shared" si="50"/>
        <v>4</v>
      </c>
      <c r="C109" s="44">
        <f t="shared" si="51"/>
        <v>43920</v>
      </c>
      <c r="D109" s="32">
        <v>23789</v>
      </c>
      <c r="E109" s="23">
        <f t="shared" si="52"/>
        <v>0.514258434118396</v>
      </c>
      <c r="G109" s="40">
        <f t="shared" si="53"/>
        <v>4</v>
      </c>
      <c r="H109" s="44">
        <f t="shared" si="54"/>
        <v>43920</v>
      </c>
      <c r="I109" s="32">
        <v>8792</v>
      </c>
      <c r="J109" s="23">
        <f t="shared" si="55"/>
        <v>-0.2192522866530503</v>
      </c>
      <c r="L109" s="40">
        <f t="shared" si="56"/>
        <v>4</v>
      </c>
      <c r="M109" s="44">
        <f t="shared" si="57"/>
        <v>43920</v>
      </c>
      <c r="N109" s="32">
        <v>21129</v>
      </c>
      <c r="O109" s="23">
        <f t="shared" si="58"/>
        <v>-8.5867117117116587E-3</v>
      </c>
    </row>
    <row r="110" spans="2:15" x14ac:dyDescent="0.3">
      <c r="B110" s="40">
        <f t="shared" si="50"/>
        <v>5</v>
      </c>
      <c r="C110" s="44">
        <f t="shared" si="51"/>
        <v>44285</v>
      </c>
      <c r="D110" s="32">
        <v>25505</v>
      </c>
      <c r="E110" s="23">
        <f t="shared" si="52"/>
        <v>7.2134179662869391E-2</v>
      </c>
      <c r="G110" s="40">
        <f t="shared" si="53"/>
        <v>5</v>
      </c>
      <c r="H110" s="44">
        <f t="shared" si="54"/>
        <v>44285</v>
      </c>
      <c r="I110" s="32">
        <v>14205</v>
      </c>
      <c r="J110" s="23">
        <f t="shared" si="55"/>
        <v>0.61567333939945401</v>
      </c>
      <c r="L110" s="40">
        <f t="shared" si="56"/>
        <v>5</v>
      </c>
      <c r="M110" s="44">
        <f t="shared" si="57"/>
        <v>44285</v>
      </c>
      <c r="N110" s="32">
        <v>22871</v>
      </c>
      <c r="O110" s="23">
        <f t="shared" si="58"/>
        <v>8.2445927398362429E-2</v>
      </c>
    </row>
    <row r="111" spans="2:15" x14ac:dyDescent="0.3">
      <c r="B111" s="40">
        <f t="shared" si="50"/>
        <v>6</v>
      </c>
      <c r="C111" s="44">
        <f t="shared" si="51"/>
        <v>44650</v>
      </c>
      <c r="D111" s="32">
        <v>25800</v>
      </c>
      <c r="E111" s="23">
        <f t="shared" si="52"/>
        <v>1.1566359537345638E-2</v>
      </c>
      <c r="G111" s="40">
        <f t="shared" si="53"/>
        <v>6</v>
      </c>
      <c r="H111" s="44">
        <f t="shared" si="54"/>
        <v>44650</v>
      </c>
      <c r="I111" s="32">
        <v>20324</v>
      </c>
      <c r="J111" s="23">
        <f t="shared" si="55"/>
        <v>0.43076381555790211</v>
      </c>
      <c r="L111" s="40">
        <f t="shared" si="56"/>
        <v>6</v>
      </c>
      <c r="M111" s="44">
        <f t="shared" si="57"/>
        <v>44650</v>
      </c>
      <c r="N111" s="32">
        <v>30019</v>
      </c>
      <c r="O111" s="23">
        <f t="shared" si="58"/>
        <v>0.31253552533776396</v>
      </c>
    </row>
    <row r="112" spans="2:15" x14ac:dyDescent="0.3">
      <c r="B112" s="40">
        <f t="shared" si="50"/>
        <v>7</v>
      </c>
      <c r="C112" s="44">
        <f t="shared" si="51"/>
        <v>45015</v>
      </c>
      <c r="D112" s="32">
        <v>29225</v>
      </c>
      <c r="E112" s="23">
        <f t="shared" si="52"/>
        <v>0.13275193798449614</v>
      </c>
      <c r="G112" s="40">
        <f t="shared" si="53"/>
        <v>7</v>
      </c>
      <c r="H112" s="44">
        <f t="shared" si="54"/>
        <v>45015</v>
      </c>
      <c r="I112" s="32">
        <v>19478</v>
      </c>
      <c r="J112" s="23">
        <f t="shared" si="55"/>
        <v>-4.1625664239323013E-2</v>
      </c>
      <c r="L112" s="40">
        <f t="shared" si="56"/>
        <v>7</v>
      </c>
      <c r="M112" s="44">
        <f t="shared" si="57"/>
        <v>45015</v>
      </c>
      <c r="N112" s="32">
        <v>38008</v>
      </c>
      <c r="O112" s="23">
        <f t="shared" si="58"/>
        <v>0.26613145008161498</v>
      </c>
    </row>
    <row r="113" spans="2:15" x14ac:dyDescent="0.3">
      <c r="B113" s="40">
        <f t="shared" si="50"/>
        <v>8</v>
      </c>
      <c r="C113" s="44">
        <f t="shared" si="51"/>
        <v>45380</v>
      </c>
      <c r="D113" s="32">
        <v>27622</v>
      </c>
      <c r="E113" s="23">
        <f t="shared" si="52"/>
        <v>-5.4850299401197566E-2</v>
      </c>
      <c r="G113" s="40">
        <f t="shared" si="53"/>
        <v>8</v>
      </c>
      <c r="H113" s="44">
        <f t="shared" si="54"/>
        <v>45380</v>
      </c>
      <c r="I113" s="32">
        <v>24623</v>
      </c>
      <c r="J113" s="23">
        <f t="shared" si="55"/>
        <v>0.26414416264503537</v>
      </c>
      <c r="L113" s="40">
        <f t="shared" si="56"/>
        <v>8</v>
      </c>
      <c r="M113" s="44">
        <f t="shared" si="57"/>
        <v>45380</v>
      </c>
      <c r="N113" s="32">
        <v>38503</v>
      </c>
      <c r="O113" s="23">
        <f t="shared" si="58"/>
        <v>1.3023573984424441E-2</v>
      </c>
    </row>
    <row r="114" spans="2:15" x14ac:dyDescent="0.3">
      <c r="B114" s="40">
        <f t="shared" si="50"/>
        <v>9</v>
      </c>
      <c r="C114" s="44">
        <f t="shared" si="51"/>
        <v>45745</v>
      </c>
      <c r="D114" s="32">
        <v>30961</v>
      </c>
      <c r="E114" s="23">
        <f t="shared" si="52"/>
        <v>0.12088190572731872</v>
      </c>
      <c r="G114" s="40">
        <f t="shared" si="53"/>
        <v>9</v>
      </c>
      <c r="H114" s="44">
        <f t="shared" si="54"/>
        <v>45745</v>
      </c>
      <c r="I114" s="32">
        <v>23541</v>
      </c>
      <c r="J114" s="23">
        <f t="shared" si="55"/>
        <v>-4.39426552410348E-2</v>
      </c>
      <c r="L114" s="40">
        <f t="shared" si="56"/>
        <v>9</v>
      </c>
      <c r="M114" s="44">
        <f t="shared" si="57"/>
        <v>45745</v>
      </c>
      <c r="N114" s="32">
        <v>36866</v>
      </c>
      <c r="O114" s="23">
        <f t="shared" si="58"/>
        <v>-4.2516167571358121E-2</v>
      </c>
    </row>
    <row r="115" spans="2:15" x14ac:dyDescent="0.3">
      <c r="B115" s="40">
        <f t="shared" si="50"/>
        <v>10</v>
      </c>
      <c r="C115" s="44">
        <f t="shared" si="51"/>
        <v>46110</v>
      </c>
      <c r="D115" s="32">
        <v>33770</v>
      </c>
      <c r="E115" s="23">
        <f t="shared" si="52"/>
        <v>9.0727043700138843E-2</v>
      </c>
      <c r="G115" s="40">
        <f t="shared" si="53"/>
        <v>10</v>
      </c>
      <c r="H115" s="44">
        <f t="shared" si="54"/>
        <v>46110</v>
      </c>
      <c r="I115" s="32">
        <v>21880</v>
      </c>
      <c r="J115" s="23">
        <f t="shared" si="55"/>
        <v>-7.0557750307973288E-2</v>
      </c>
      <c r="L115" s="40">
        <f t="shared" si="56"/>
        <v>10</v>
      </c>
      <c r="M115" s="44">
        <f t="shared" si="57"/>
        <v>46110</v>
      </c>
      <c r="N115" s="32">
        <v>40677</v>
      </c>
      <c r="O115" s="23">
        <f t="shared" si="58"/>
        <v>0.10337438290023337</v>
      </c>
    </row>
    <row r="116" spans="2:15" x14ac:dyDescent="0.3">
      <c r="B116" s="45">
        <f t="shared" si="50"/>
        <v>11</v>
      </c>
      <c r="C116" s="46">
        <f t="shared" si="51"/>
        <v>46475</v>
      </c>
      <c r="D116" s="47">
        <f t="array" ref="D116">FORECAST(B116,$D$106:$D$115,$B$106:$B$115)</f>
        <v>36619.866666666669</v>
      </c>
      <c r="E116" s="48">
        <f t="shared" si="52"/>
        <v>8.4390484651071018E-2</v>
      </c>
      <c r="G116" s="45">
        <f t="shared" si="53"/>
        <v>11</v>
      </c>
      <c r="H116" s="46">
        <f t="shared" si="54"/>
        <v>46475</v>
      </c>
      <c r="I116" s="47">
        <f t="array" ref="I116">FORECAST(G116,$I$106:$I$115,$G$106:$G$115)</f>
        <v>25060.533333333333</v>
      </c>
      <c r="J116" s="48">
        <f t="shared" si="55"/>
        <v>0.14536258379037181</v>
      </c>
      <c r="L116" s="45">
        <f t="shared" si="56"/>
        <v>11</v>
      </c>
      <c r="M116" s="46">
        <f t="shared" si="57"/>
        <v>46475</v>
      </c>
      <c r="N116" s="47">
        <f t="array" ref="N116">FORECAST(L116,$N$106:$N$115,$L$106:$L$115)</f>
        <v>44615.4</v>
      </c>
      <c r="O116" s="48">
        <f t="shared" si="58"/>
        <v>9.6821299505863267E-2</v>
      </c>
    </row>
    <row r="117" spans="2:15" x14ac:dyDescent="0.3">
      <c r="B117" s="45">
        <f t="shared" si="50"/>
        <v>12</v>
      </c>
      <c r="C117" s="46">
        <f t="shared" si="51"/>
        <v>46840</v>
      </c>
      <c r="D117" s="47">
        <f t="array" ref="D117">FORECAST(B117,$D$106:$D$115,$B$106:$B$115)</f>
        <v>38930.115151515151</v>
      </c>
      <c r="E117" s="48">
        <f t="shared" si="52"/>
        <v>6.3087299194111823E-2</v>
      </c>
      <c r="G117" s="45">
        <f t="shared" si="53"/>
        <v>12</v>
      </c>
      <c r="H117" s="46">
        <f t="shared" si="54"/>
        <v>46840</v>
      </c>
      <c r="I117" s="47">
        <f t="array" ref="I117">FORECAST(G117,$I$106:$I$115,$G$106:$G$115)</f>
        <v>26477.175757575758</v>
      </c>
      <c r="J117" s="48">
        <f t="shared" si="55"/>
        <v>5.6528821849059829E-2</v>
      </c>
      <c r="L117" s="45">
        <f t="shared" si="56"/>
        <v>12</v>
      </c>
      <c r="M117" s="46">
        <f t="shared" si="57"/>
        <v>46840</v>
      </c>
      <c r="N117" s="47">
        <f t="array" ref="N117">FORECAST(L117,$N$106:$N$115,$L$106:$L$115)</f>
        <v>47533.381818181813</v>
      </c>
      <c r="O117" s="48">
        <f t="shared" si="58"/>
        <v>6.540301819958616E-2</v>
      </c>
    </row>
    <row r="118" spans="2:15" x14ac:dyDescent="0.3">
      <c r="B118" s="45">
        <f t="shared" si="50"/>
        <v>13</v>
      </c>
      <c r="C118" s="46">
        <f t="shared" si="51"/>
        <v>47205</v>
      </c>
      <c r="D118" s="47">
        <f t="array" ref="D118">FORECAST(B118,$D$106:$D$115,$B$106:$B$115)</f>
        <v>41240.363636363632</v>
      </c>
      <c r="E118" s="48">
        <f t="shared" si="52"/>
        <v>5.9343479356715134E-2</v>
      </c>
      <c r="G118" s="45">
        <f t="shared" si="53"/>
        <v>13</v>
      </c>
      <c r="H118" s="46">
        <f t="shared" si="54"/>
        <v>47205</v>
      </c>
      <c r="I118" s="47">
        <f t="array" ref="I118">FORECAST(G118,$I$106:$I$115,$G$106:$G$115)</f>
        <v>27893.818181818184</v>
      </c>
      <c r="J118" s="48">
        <f t="shared" si="55"/>
        <v>5.3504287512125881E-2</v>
      </c>
      <c r="L118" s="45">
        <f t="shared" si="56"/>
        <v>13</v>
      </c>
      <c r="M118" s="46">
        <f t="shared" si="57"/>
        <v>47205</v>
      </c>
      <c r="N118" s="47">
        <f t="array" ref="N118">FORECAST(L118,$N$106:$N$115,$L$106:$L$115)</f>
        <v>50451.363636363632</v>
      </c>
      <c r="O118" s="48">
        <f t="shared" si="58"/>
        <v>6.1388054175132822E-2</v>
      </c>
    </row>
    <row r="119" spans="2:15" x14ac:dyDescent="0.3">
      <c r="B119" s="45">
        <f t="shared" si="50"/>
        <v>14</v>
      </c>
      <c r="C119" s="46">
        <f t="shared" si="51"/>
        <v>47570</v>
      </c>
      <c r="D119" s="47">
        <f t="array" ref="D119">FORECAST(B119,$D$106:$D$115,$B$106:$B$115)</f>
        <v>43550.612121212122</v>
      </c>
      <c r="E119" s="48">
        <f t="shared" si="52"/>
        <v>5.6019110433144448E-2</v>
      </c>
      <c r="G119" s="45">
        <f t="shared" si="53"/>
        <v>14</v>
      </c>
      <c r="H119" s="46">
        <f t="shared" si="54"/>
        <v>47570</v>
      </c>
      <c r="I119" s="47">
        <f t="array" ref="I119">FORECAST(G119,$I$106:$I$115,$G$106:$G$115)</f>
        <v>29310.460606060609</v>
      </c>
      <c r="J119" s="48">
        <f t="shared" si="55"/>
        <v>5.0786967026472674E-2</v>
      </c>
      <c r="L119" s="45">
        <f t="shared" si="56"/>
        <v>14</v>
      </c>
      <c r="M119" s="46">
        <f t="shared" si="57"/>
        <v>47570</v>
      </c>
      <c r="N119" s="47">
        <f t="array" ref="N119">FORECAST(L119,$N$106:$N$115,$L$106:$L$115)</f>
        <v>53369.345454545452</v>
      </c>
      <c r="O119" s="48">
        <f t="shared" si="58"/>
        <v>5.7837521285126092E-2</v>
      </c>
    </row>
    <row r="120" spans="2:15" x14ac:dyDescent="0.3">
      <c r="B120" s="45">
        <f t="shared" si="50"/>
        <v>15</v>
      </c>
      <c r="C120" s="46">
        <f t="shared" si="51"/>
        <v>47935</v>
      </c>
      <c r="D120" s="47">
        <f t="array" ref="D120">FORECAST(B120,$D$106:$D$115,$B$106:$B$115)</f>
        <v>45860.860606060611</v>
      </c>
      <c r="E120" s="48">
        <f t="shared" si="52"/>
        <v>5.3047440031807058E-2</v>
      </c>
      <c r="G120" s="45">
        <f t="shared" si="53"/>
        <v>15</v>
      </c>
      <c r="H120" s="46">
        <f t="shared" si="54"/>
        <v>47935</v>
      </c>
      <c r="I120" s="47">
        <f t="array" ref="I120">FORECAST(G120,$I$106:$I$115,$G$106:$G$115)</f>
        <v>30727.103030303031</v>
      </c>
      <c r="J120" s="48">
        <f t="shared" si="55"/>
        <v>4.8332315321905961E-2</v>
      </c>
      <c r="L120" s="45">
        <f t="shared" si="56"/>
        <v>15</v>
      </c>
      <c r="M120" s="46">
        <f t="shared" si="57"/>
        <v>47935</v>
      </c>
      <c r="N120" s="47">
        <f t="array" ref="N120">FORECAST(L120,$N$106:$N$115,$L$106:$L$115)</f>
        <v>56287.327272727271</v>
      </c>
      <c r="O120" s="48">
        <f t="shared" si="58"/>
        <v>5.4675240877126052E-2</v>
      </c>
    </row>
    <row r="123" spans="2:15" ht="25.8" x14ac:dyDescent="0.5">
      <c r="B123" s="41" t="s">
        <v>155</v>
      </c>
      <c r="G123" s="41" t="s">
        <v>81</v>
      </c>
      <c r="H123" s="42"/>
      <c r="I123" s="22"/>
      <c r="L123" s="41" t="s">
        <v>157</v>
      </c>
      <c r="M123" s="42"/>
      <c r="N123" s="22"/>
      <c r="O123" s="22"/>
    </row>
    <row r="124" spans="2:15" x14ac:dyDescent="0.3">
      <c r="G124" s="40"/>
      <c r="H124" s="42"/>
      <c r="I124" s="22"/>
      <c r="L124" s="40"/>
      <c r="M124" s="42"/>
      <c r="N124" s="22"/>
      <c r="O124" s="22"/>
    </row>
    <row r="125" spans="2:15" x14ac:dyDescent="0.3">
      <c r="B125" s="8" t="s">
        <v>119</v>
      </c>
      <c r="C125" s="43" t="s">
        <v>120</v>
      </c>
      <c r="D125" s="8" t="s">
        <v>154</v>
      </c>
      <c r="E125" s="8" t="s">
        <v>156</v>
      </c>
      <c r="G125" s="8" t="s">
        <v>119</v>
      </c>
      <c r="H125" s="43" t="s">
        <v>120</v>
      </c>
      <c r="I125" s="8" t="s">
        <v>154</v>
      </c>
      <c r="J125" s="8" t="s">
        <v>156</v>
      </c>
      <c r="L125" s="8" t="s">
        <v>119</v>
      </c>
      <c r="M125" s="43" t="s">
        <v>120</v>
      </c>
      <c r="N125" s="8" t="s">
        <v>158</v>
      </c>
      <c r="O125" s="8" t="s">
        <v>159</v>
      </c>
    </row>
    <row r="126" spans="2:15" x14ac:dyDescent="0.3">
      <c r="B126" s="40">
        <v>1</v>
      </c>
      <c r="C126" s="44">
        <f>'Data Sheet'!$B$16</f>
        <v>42825</v>
      </c>
      <c r="D126" s="32">
        <f t="array" ref="D126:D135">TRANSPOSE('Balance Sheet'!B18:K18)</f>
        <v>22625</v>
      </c>
      <c r="G126" s="40">
        <v>1</v>
      </c>
      <c r="H126" s="44">
        <f>'Data Sheet'!$B$16</f>
        <v>42825</v>
      </c>
      <c r="I126" s="32">
        <f t="array" ref="I126:I135">TRANSPOSE('Cash Flow'!B5:K5)</f>
        <v>11531</v>
      </c>
      <c r="L126" s="40">
        <v>1</v>
      </c>
      <c r="M126" s="44">
        <f>'Data Sheet'!$B$16</f>
        <v>42825</v>
      </c>
      <c r="N126" s="32">
        <f t="array" ref="N126:N135">TRANSPOSE('Cash Flow'!B7:K7)</f>
        <v>-14664</v>
      </c>
      <c r="O126" s="22"/>
    </row>
    <row r="127" spans="2:15" x14ac:dyDescent="0.3">
      <c r="B127" s="40">
        <f>B126+1</f>
        <v>2</v>
      </c>
      <c r="C127" s="44">
        <f>C126+365</f>
        <v>43190</v>
      </c>
      <c r="D127" s="32">
        <v>19818</v>
      </c>
      <c r="E127" s="23">
        <f>IFERROR(D127/D126-1,0)</f>
        <v>-0.12406629834254146</v>
      </c>
      <c r="G127" s="40">
        <f>G126+1</f>
        <v>2</v>
      </c>
      <c r="H127" s="44">
        <f>H126+365</f>
        <v>43190</v>
      </c>
      <c r="I127" s="32">
        <v>13218</v>
      </c>
      <c r="J127" s="23">
        <f>IFERROR(I127/I126-1,0)</f>
        <v>0.14630127482438637</v>
      </c>
      <c r="L127" s="40">
        <f>L126+1</f>
        <v>2</v>
      </c>
      <c r="M127" s="44">
        <f>M126+365</f>
        <v>43190</v>
      </c>
      <c r="N127" s="32">
        <v>4533</v>
      </c>
      <c r="O127" s="23">
        <f>IFERROR(N127/N126-1,0)</f>
        <v>-1.3091243862520459</v>
      </c>
    </row>
    <row r="128" spans="2:15" x14ac:dyDescent="0.3">
      <c r="B128" s="40">
        <f t="shared" ref="B128:B140" si="59">B127+1</f>
        <v>3</v>
      </c>
      <c r="C128" s="44">
        <f t="shared" ref="C128:C140" si="60">C127+365</f>
        <v>43555</v>
      </c>
      <c r="D128" s="32">
        <v>19568</v>
      </c>
      <c r="E128" s="23">
        <f t="shared" ref="E128:E140" si="61">IFERROR(D128/D127-1,0)</f>
        <v>-1.2614794631143456E-2</v>
      </c>
      <c r="G128" s="40">
        <f t="shared" ref="G128:G140" si="62">G127+1</f>
        <v>3</v>
      </c>
      <c r="H128" s="44">
        <f t="shared" ref="H128:H140" si="63">H127+365</f>
        <v>43555</v>
      </c>
      <c r="I128" s="32">
        <v>14841</v>
      </c>
      <c r="J128" s="23">
        <f t="shared" ref="J128:J140" si="64">IFERROR(I128/I127-1,0)</f>
        <v>0.12278710848842489</v>
      </c>
      <c r="L128" s="40">
        <f t="shared" ref="L128:L140" si="65">L127+1</f>
        <v>3</v>
      </c>
      <c r="M128" s="44">
        <f t="shared" ref="M128:M140" si="66">M127+365</f>
        <v>43555</v>
      </c>
      <c r="N128" s="32">
        <v>-632</v>
      </c>
      <c r="O128" s="23">
        <f t="shared" ref="O128:O140" si="67">IFERROR(N128/N127-1,0)</f>
        <v>-1.1394220163247297</v>
      </c>
    </row>
    <row r="129" spans="2:15" x14ac:dyDescent="0.3">
      <c r="B129" s="40">
        <f t="shared" si="59"/>
        <v>4</v>
      </c>
      <c r="C129" s="44">
        <f t="shared" si="60"/>
        <v>43920</v>
      </c>
      <c r="D129" s="32">
        <v>18649</v>
      </c>
      <c r="E129" s="23">
        <f t="shared" si="61"/>
        <v>-4.6964431725265765E-2</v>
      </c>
      <c r="G129" s="40">
        <f t="shared" si="62"/>
        <v>4</v>
      </c>
      <c r="H129" s="44">
        <f t="shared" si="63"/>
        <v>43920</v>
      </c>
      <c r="I129" s="32">
        <v>17003</v>
      </c>
      <c r="J129" s="23">
        <f t="shared" si="64"/>
        <v>0.14567751499225112</v>
      </c>
      <c r="L129" s="40">
        <f t="shared" si="65"/>
        <v>4</v>
      </c>
      <c r="M129" s="44">
        <f t="shared" si="66"/>
        <v>43920</v>
      </c>
      <c r="N129" s="32">
        <v>-331</v>
      </c>
      <c r="O129" s="23">
        <f t="shared" si="67"/>
        <v>-0.47626582278481011</v>
      </c>
    </row>
    <row r="130" spans="2:15" x14ac:dyDescent="0.3">
      <c r="B130" s="40">
        <f t="shared" si="59"/>
        <v>5</v>
      </c>
      <c r="C130" s="44">
        <f t="shared" si="60"/>
        <v>44285</v>
      </c>
      <c r="D130" s="32">
        <v>24714</v>
      </c>
      <c r="E130" s="23">
        <f t="shared" si="61"/>
        <v>0.32521851037589156</v>
      </c>
      <c r="G130" s="40">
        <f t="shared" si="62"/>
        <v>5</v>
      </c>
      <c r="H130" s="44">
        <f t="shared" si="63"/>
        <v>44285</v>
      </c>
      <c r="I130" s="32">
        <v>23224</v>
      </c>
      <c r="J130" s="23">
        <f t="shared" si="64"/>
        <v>0.36587661000999816</v>
      </c>
      <c r="L130" s="40">
        <f t="shared" si="65"/>
        <v>5</v>
      </c>
      <c r="M130" s="44">
        <f t="shared" si="66"/>
        <v>44285</v>
      </c>
      <c r="N130" s="32">
        <v>-7373</v>
      </c>
      <c r="O130" s="23">
        <f t="shared" si="67"/>
        <v>21.274924471299094</v>
      </c>
    </row>
    <row r="131" spans="2:15" x14ac:dyDescent="0.3">
      <c r="B131" s="40">
        <f t="shared" si="59"/>
        <v>6</v>
      </c>
      <c r="C131" s="44">
        <f t="shared" si="60"/>
        <v>44650</v>
      </c>
      <c r="D131" s="32">
        <v>17472</v>
      </c>
      <c r="E131" s="23">
        <f t="shared" si="61"/>
        <v>-0.29303228939062875</v>
      </c>
      <c r="G131" s="40">
        <f t="shared" si="62"/>
        <v>6</v>
      </c>
      <c r="H131" s="44">
        <f t="shared" si="63"/>
        <v>44650</v>
      </c>
      <c r="I131" s="32">
        <v>23885</v>
      </c>
      <c r="J131" s="23">
        <f t="shared" si="64"/>
        <v>2.8461935928350002E-2</v>
      </c>
      <c r="L131" s="40">
        <f t="shared" si="65"/>
        <v>6</v>
      </c>
      <c r="M131" s="44">
        <f t="shared" si="66"/>
        <v>44650</v>
      </c>
      <c r="N131" s="32">
        <v>-6485</v>
      </c>
      <c r="O131" s="23">
        <f t="shared" si="67"/>
        <v>-0.12043944120439443</v>
      </c>
    </row>
    <row r="132" spans="2:15" x14ac:dyDescent="0.3">
      <c r="B132" s="40">
        <f t="shared" si="59"/>
        <v>7</v>
      </c>
      <c r="C132" s="44">
        <f t="shared" si="60"/>
        <v>45015</v>
      </c>
      <c r="D132" s="32">
        <v>12173</v>
      </c>
      <c r="E132" s="23">
        <f t="shared" si="61"/>
        <v>-0.30328525641025639</v>
      </c>
      <c r="G132" s="40">
        <f t="shared" si="62"/>
        <v>7</v>
      </c>
      <c r="H132" s="44">
        <f t="shared" si="63"/>
        <v>45015</v>
      </c>
      <c r="I132" s="32">
        <v>22467</v>
      </c>
      <c r="J132" s="23">
        <f t="shared" si="64"/>
        <v>-5.9367804061126184E-2</v>
      </c>
      <c r="L132" s="40">
        <f t="shared" si="65"/>
        <v>7</v>
      </c>
      <c r="M132" s="44">
        <f t="shared" si="66"/>
        <v>45015</v>
      </c>
      <c r="N132" s="32">
        <v>-1071</v>
      </c>
      <c r="O132" s="23">
        <f t="shared" si="67"/>
        <v>-0.83484965304548964</v>
      </c>
    </row>
    <row r="133" spans="2:15" x14ac:dyDescent="0.3">
      <c r="B133" s="40">
        <f t="shared" si="59"/>
        <v>8</v>
      </c>
      <c r="C133" s="44">
        <f t="shared" si="60"/>
        <v>45380</v>
      </c>
      <c r="D133" s="32">
        <v>14786</v>
      </c>
      <c r="E133" s="23">
        <f t="shared" si="61"/>
        <v>0.21465538486815072</v>
      </c>
      <c r="G133" s="40">
        <f t="shared" si="62"/>
        <v>8</v>
      </c>
      <c r="H133" s="44">
        <f t="shared" si="63"/>
        <v>45380</v>
      </c>
      <c r="I133" s="32">
        <v>25210</v>
      </c>
      <c r="J133" s="23">
        <f t="shared" si="64"/>
        <v>0.12209017670360978</v>
      </c>
      <c r="L133" s="40">
        <f t="shared" si="65"/>
        <v>8</v>
      </c>
      <c r="M133" s="44">
        <f t="shared" si="66"/>
        <v>45380</v>
      </c>
      <c r="N133" s="32">
        <v>-5093</v>
      </c>
      <c r="O133" s="23">
        <f t="shared" si="67"/>
        <v>3.7553688141923436</v>
      </c>
    </row>
    <row r="134" spans="2:15" x14ac:dyDescent="0.3">
      <c r="B134" s="40">
        <f t="shared" si="59"/>
        <v>9</v>
      </c>
      <c r="C134" s="44">
        <f t="shared" si="60"/>
        <v>45745</v>
      </c>
      <c r="D134" s="32">
        <v>24455</v>
      </c>
      <c r="E134" s="23">
        <f t="shared" si="61"/>
        <v>0.65392939266874062</v>
      </c>
      <c r="G134" s="40">
        <f t="shared" si="62"/>
        <v>9</v>
      </c>
      <c r="H134" s="44">
        <f t="shared" si="63"/>
        <v>45745</v>
      </c>
      <c r="I134" s="32">
        <v>35694</v>
      </c>
      <c r="J134" s="23">
        <f t="shared" si="64"/>
        <v>0.41586671955573196</v>
      </c>
      <c r="L134" s="40">
        <f t="shared" si="65"/>
        <v>9</v>
      </c>
      <c r="M134" s="44">
        <f t="shared" si="66"/>
        <v>45745</v>
      </c>
      <c r="N134" s="32">
        <v>-1864</v>
      </c>
      <c r="O134" s="23">
        <f t="shared" si="67"/>
        <v>-0.63400746122128404</v>
      </c>
    </row>
    <row r="135" spans="2:15" x14ac:dyDescent="0.3">
      <c r="B135" s="40">
        <f t="shared" si="59"/>
        <v>10</v>
      </c>
      <c r="C135" s="44">
        <f t="shared" si="60"/>
        <v>46110</v>
      </c>
      <c r="D135" s="32">
        <v>22201</v>
      </c>
      <c r="E135" s="23">
        <f t="shared" si="61"/>
        <v>-9.2169290533633208E-2</v>
      </c>
      <c r="G135" s="40">
        <f t="shared" si="62"/>
        <v>10</v>
      </c>
      <c r="H135" s="44">
        <f t="shared" si="63"/>
        <v>46110</v>
      </c>
      <c r="I135" s="32">
        <v>33986</v>
      </c>
      <c r="J135" s="23">
        <f t="shared" si="64"/>
        <v>-4.7851179469938887E-2</v>
      </c>
      <c r="L135" s="40">
        <f t="shared" si="65"/>
        <v>10</v>
      </c>
      <c r="M135" s="44">
        <f t="shared" si="66"/>
        <v>46110</v>
      </c>
      <c r="N135" s="32">
        <v>3546</v>
      </c>
      <c r="O135" s="23">
        <f t="shared" si="67"/>
        <v>-2.9023605150214591</v>
      </c>
    </row>
    <row r="136" spans="2:15" x14ac:dyDescent="0.3">
      <c r="B136" s="45">
        <f t="shared" si="59"/>
        <v>11</v>
      </c>
      <c r="C136" s="46">
        <f t="shared" si="60"/>
        <v>46475</v>
      </c>
      <c r="D136" s="47">
        <f t="array" ref="D136">FORECAST(B136,$D$126:$D$135,$B$126:$B$135)</f>
        <v>18914.866666666665</v>
      </c>
      <c r="E136" s="48">
        <f t="shared" si="61"/>
        <v>-0.14801735657552972</v>
      </c>
      <c r="G136" s="45">
        <f t="shared" si="62"/>
        <v>11</v>
      </c>
      <c r="H136" s="46">
        <f t="shared" si="63"/>
        <v>46475</v>
      </c>
      <c r="I136" s="47">
        <f t="array" ref="I136">FORECAST(G136,$I$126:$I$135,$G$126:$G$135)</f>
        <v>36383.4</v>
      </c>
      <c r="J136" s="48">
        <f t="shared" si="64"/>
        <v>7.054081092214437E-2</v>
      </c>
      <c r="L136" s="45">
        <f t="shared" si="65"/>
        <v>11</v>
      </c>
      <c r="M136" s="46">
        <f t="shared" si="66"/>
        <v>46475</v>
      </c>
      <c r="N136" s="47">
        <f t="array" ref="N136">FORECAST(L136,$N$126:$N$135,$L$126:$L$135)</f>
        <v>239.06666666666661</v>
      </c>
      <c r="O136" s="48">
        <f t="shared" si="67"/>
        <v>-0.93258131227674379</v>
      </c>
    </row>
    <row r="137" spans="2:15" x14ac:dyDescent="0.3">
      <c r="B137" s="45">
        <f t="shared" si="59"/>
        <v>12</v>
      </c>
      <c r="C137" s="46">
        <f t="shared" si="60"/>
        <v>46840</v>
      </c>
      <c r="D137" s="47">
        <f t="array" ref="D137">FORECAST(B137,$D$126:$D$135,$B$126:$B$135)</f>
        <v>18781.91515151515</v>
      </c>
      <c r="E137" s="48">
        <f t="shared" si="61"/>
        <v>-7.0289427620345846E-3</v>
      </c>
      <c r="G137" s="45">
        <f t="shared" si="62"/>
        <v>12</v>
      </c>
      <c r="H137" s="46">
        <f t="shared" si="63"/>
        <v>46840</v>
      </c>
      <c r="I137" s="47">
        <f t="array" ref="I137">FORECAST(G137,$I$126:$I$135,$G$126:$G$135)</f>
        <v>38979.309090909097</v>
      </c>
      <c r="J137" s="48">
        <f t="shared" si="64"/>
        <v>7.1348721969609619E-2</v>
      </c>
      <c r="L137" s="45">
        <f t="shared" si="65"/>
        <v>12</v>
      </c>
      <c r="M137" s="46">
        <f t="shared" si="66"/>
        <v>46840</v>
      </c>
      <c r="N137" s="47">
        <f t="array" ref="N137">FORECAST(L137,$N$126:$N$135,$L$126:$L$135)</f>
        <v>817.69696969696997</v>
      </c>
      <c r="O137" s="48">
        <f t="shared" si="67"/>
        <v>2.4203721543375774</v>
      </c>
    </row>
    <row r="138" spans="2:15" x14ac:dyDescent="0.3">
      <c r="B138" s="45">
        <f t="shared" si="59"/>
        <v>13</v>
      </c>
      <c r="C138" s="46">
        <f t="shared" si="60"/>
        <v>47205</v>
      </c>
      <c r="D138" s="47">
        <f t="array" ref="D138">FORECAST(B138,$D$126:$D$135,$B$126:$B$135)</f>
        <v>18648.963636363635</v>
      </c>
      <c r="E138" s="48">
        <f t="shared" si="61"/>
        <v>-7.0786985288233684E-3</v>
      </c>
      <c r="G138" s="45">
        <f t="shared" si="62"/>
        <v>13</v>
      </c>
      <c r="H138" s="46">
        <f t="shared" si="63"/>
        <v>47205</v>
      </c>
      <c r="I138" s="47">
        <f t="array" ref="I138">FORECAST(G138,$I$126:$I$135,$G$126:$G$135)</f>
        <v>41575.218181818185</v>
      </c>
      <c r="J138" s="48">
        <f t="shared" si="64"/>
        <v>6.6597103731490082E-2</v>
      </c>
      <c r="L138" s="45">
        <f t="shared" si="65"/>
        <v>13</v>
      </c>
      <c r="M138" s="46">
        <f t="shared" si="66"/>
        <v>47205</v>
      </c>
      <c r="N138" s="47">
        <f t="array" ref="N138">FORECAST(L138,$N$126:$N$135,$L$126:$L$135)</f>
        <v>1396.3272727272724</v>
      </c>
      <c r="O138" s="48">
        <f t="shared" si="67"/>
        <v>0.70763415357248638</v>
      </c>
    </row>
    <row r="139" spans="2:15" x14ac:dyDescent="0.3">
      <c r="B139" s="45">
        <f t="shared" si="59"/>
        <v>14</v>
      </c>
      <c r="C139" s="46">
        <f t="shared" si="60"/>
        <v>47570</v>
      </c>
      <c r="D139" s="47">
        <f t="array" ref="D139">FORECAST(B139,$D$126:$D$135,$B$126:$B$135)</f>
        <v>18516.012121212119</v>
      </c>
      <c r="E139" s="48">
        <f t="shared" si="61"/>
        <v>-7.1291637296280186E-3</v>
      </c>
      <c r="G139" s="45">
        <f t="shared" si="62"/>
        <v>14</v>
      </c>
      <c r="H139" s="46">
        <f t="shared" si="63"/>
        <v>47570</v>
      </c>
      <c r="I139" s="47">
        <f t="array" ref="I139">FORECAST(G139,$I$126:$I$135,$G$126:$G$135)</f>
        <v>44171.127272727274</v>
      </c>
      <c r="J139" s="48">
        <f t="shared" si="64"/>
        <v>6.2438856714030155E-2</v>
      </c>
      <c r="L139" s="45">
        <f t="shared" si="65"/>
        <v>14</v>
      </c>
      <c r="M139" s="46">
        <f t="shared" si="66"/>
        <v>47570</v>
      </c>
      <c r="N139" s="47">
        <f t="array" ref="N139">FORECAST(L139,$N$126:$N$135,$L$126:$L$135)</f>
        <v>1974.9575757575758</v>
      </c>
      <c r="O139" s="48">
        <f t="shared" si="67"/>
        <v>0.41439447207826619</v>
      </c>
    </row>
    <row r="140" spans="2:15" x14ac:dyDescent="0.3">
      <c r="B140" s="45">
        <f t="shared" si="59"/>
        <v>15</v>
      </c>
      <c r="C140" s="46">
        <f t="shared" si="60"/>
        <v>47935</v>
      </c>
      <c r="D140" s="47">
        <f t="array" ref="D140">FORECAST(B140,$D$126:$D$135,$B$126:$B$135)</f>
        <v>18383.060606060604</v>
      </c>
      <c r="E140" s="48">
        <f t="shared" si="61"/>
        <v>-7.1803536464098983E-3</v>
      </c>
      <c r="G140" s="45">
        <f t="shared" si="62"/>
        <v>15</v>
      </c>
      <c r="H140" s="46">
        <f t="shared" si="63"/>
        <v>47935</v>
      </c>
      <c r="I140" s="47">
        <f t="array" ref="I140">FORECAST(G140,$I$126:$I$135,$G$126:$G$135)</f>
        <v>46767.036363636369</v>
      </c>
      <c r="J140" s="48">
        <f t="shared" si="64"/>
        <v>5.8769364768100463E-2</v>
      </c>
      <c r="L140" s="45">
        <f t="shared" si="65"/>
        <v>15</v>
      </c>
      <c r="M140" s="46">
        <f t="shared" si="66"/>
        <v>47935</v>
      </c>
      <c r="N140" s="47">
        <f t="array" ref="N140">FORECAST(L140,$N$126:$N$135,$L$126:$L$135)</f>
        <v>2553.5878787878792</v>
      </c>
      <c r="O140" s="48">
        <f t="shared" si="67"/>
        <v>0.29298366209630911</v>
      </c>
    </row>
    <row r="143" spans="2:15" ht="25.8" x14ac:dyDescent="0.5">
      <c r="B143" s="41" t="s">
        <v>160</v>
      </c>
    </row>
    <row r="145" spans="2:5" x14ac:dyDescent="0.3">
      <c r="B145" s="8" t="s">
        <v>119</v>
      </c>
      <c r="C145" s="43" t="s">
        <v>120</v>
      </c>
      <c r="D145" s="8" t="s">
        <v>161</v>
      </c>
      <c r="E145" s="8" t="s">
        <v>162</v>
      </c>
    </row>
    <row r="146" spans="2:5" x14ac:dyDescent="0.3">
      <c r="B146" s="40">
        <v>1</v>
      </c>
      <c r="C146" s="44">
        <f>'Data Sheet'!$B$16</f>
        <v>42825</v>
      </c>
      <c r="D146" s="32">
        <f t="array" ref="D146:D155">TRANSPOSE('Cash Flow'!B9:K9)</f>
        <v>-6939</v>
      </c>
    </row>
    <row r="147" spans="2:5" x14ac:dyDescent="0.3">
      <c r="B147" s="40">
        <f>B146+1</f>
        <v>2</v>
      </c>
      <c r="C147" s="44">
        <f>C146+365</f>
        <v>43190</v>
      </c>
      <c r="D147" s="32">
        <v>-20505</v>
      </c>
      <c r="E147" s="23">
        <f>IFERROR(D147/D146-1,0)</f>
        <v>1.955036748811068</v>
      </c>
    </row>
    <row r="148" spans="2:5" x14ac:dyDescent="0.3">
      <c r="B148" s="40">
        <f t="shared" ref="B148:B160" si="68">B147+1</f>
        <v>3</v>
      </c>
      <c r="C148" s="44">
        <f t="shared" ref="C148:C160" si="69">C147+365</f>
        <v>43555</v>
      </c>
      <c r="D148" s="32">
        <v>-14512</v>
      </c>
      <c r="E148" s="23">
        <f t="shared" ref="E148:E160" si="70">IFERROR(D148/D147-1,0)</f>
        <v>-0.29227017800536459</v>
      </c>
    </row>
    <row r="149" spans="2:5" x14ac:dyDescent="0.3">
      <c r="B149" s="40">
        <f t="shared" si="68"/>
        <v>4</v>
      </c>
      <c r="C149" s="44">
        <f t="shared" si="69"/>
        <v>43920</v>
      </c>
      <c r="D149" s="32">
        <v>-17591</v>
      </c>
      <c r="E149" s="23">
        <f t="shared" si="70"/>
        <v>0.21216923925027564</v>
      </c>
    </row>
    <row r="150" spans="2:5" x14ac:dyDescent="0.3">
      <c r="B150" s="40">
        <f t="shared" si="68"/>
        <v>5</v>
      </c>
      <c r="C150" s="44">
        <f t="shared" si="69"/>
        <v>44285</v>
      </c>
      <c r="D150" s="32">
        <v>-9786</v>
      </c>
      <c r="E150" s="23">
        <f t="shared" si="70"/>
        <v>-0.44369279745324308</v>
      </c>
    </row>
    <row r="151" spans="2:5" x14ac:dyDescent="0.3">
      <c r="B151" s="40">
        <f t="shared" si="68"/>
        <v>6</v>
      </c>
      <c r="C151" s="44">
        <f t="shared" si="69"/>
        <v>44650</v>
      </c>
      <c r="D151" s="32">
        <v>-24642</v>
      </c>
      <c r="E151" s="23">
        <f t="shared" si="70"/>
        <v>1.5180870631514409</v>
      </c>
    </row>
    <row r="152" spans="2:5" x14ac:dyDescent="0.3">
      <c r="B152" s="40">
        <f t="shared" si="68"/>
        <v>7</v>
      </c>
      <c r="C152" s="44">
        <f t="shared" si="69"/>
        <v>45015</v>
      </c>
      <c r="D152" s="32">
        <v>-26695</v>
      </c>
      <c r="E152" s="23">
        <f t="shared" si="70"/>
        <v>8.3313042772502177E-2</v>
      </c>
    </row>
    <row r="153" spans="2:5" x14ac:dyDescent="0.3">
      <c r="B153" s="40">
        <f t="shared" si="68"/>
        <v>8</v>
      </c>
      <c r="C153" s="44">
        <f t="shared" si="69"/>
        <v>45380</v>
      </c>
      <c r="D153" s="32">
        <v>-17504</v>
      </c>
      <c r="E153" s="23">
        <f t="shared" si="70"/>
        <v>-0.34429668477242925</v>
      </c>
    </row>
    <row r="154" spans="2:5" x14ac:dyDescent="0.3">
      <c r="B154" s="40">
        <f t="shared" si="68"/>
        <v>9</v>
      </c>
      <c r="C154" s="44">
        <f t="shared" si="69"/>
        <v>45745</v>
      </c>
      <c r="D154" s="32">
        <v>-24161</v>
      </c>
      <c r="E154" s="23">
        <f t="shared" si="70"/>
        <v>0.38031307129798897</v>
      </c>
    </row>
    <row r="155" spans="2:5" x14ac:dyDescent="0.3">
      <c r="B155" s="40">
        <f t="shared" si="68"/>
        <v>10</v>
      </c>
      <c r="C155" s="44">
        <f t="shared" si="69"/>
        <v>46110</v>
      </c>
      <c r="D155" s="32">
        <v>-39786</v>
      </c>
      <c r="E155" s="23">
        <f t="shared" si="70"/>
        <v>0.64670336492694847</v>
      </c>
    </row>
    <row r="156" spans="2:5" x14ac:dyDescent="0.3">
      <c r="B156" s="45">
        <f t="shared" si="68"/>
        <v>11</v>
      </c>
      <c r="C156" s="46">
        <f t="shared" si="69"/>
        <v>46475</v>
      </c>
      <c r="D156" s="47">
        <f t="array" ref="D156">FORECAST(B156,$D$146:$D$155,$B$146:$B$155)</f>
        <v>-32823.533333333333</v>
      </c>
      <c r="E156" s="48">
        <f t="shared" si="70"/>
        <v>-0.17499790546088245</v>
      </c>
    </row>
    <row r="157" spans="2:5" x14ac:dyDescent="0.3">
      <c r="B157" s="45">
        <f t="shared" si="68"/>
        <v>12</v>
      </c>
      <c r="C157" s="46">
        <f t="shared" si="69"/>
        <v>46840</v>
      </c>
      <c r="D157" s="47">
        <f t="array" ref="D157">FORECAST(B157,$D$146:$D$155,$B$146:$B$155)</f>
        <v>-35116.52121212121</v>
      </c>
      <c r="E157" s="48">
        <f t="shared" si="70"/>
        <v>6.9858045308585748E-2</v>
      </c>
    </row>
    <row r="158" spans="2:5" x14ac:dyDescent="0.3">
      <c r="B158" s="45">
        <f t="shared" si="68"/>
        <v>13</v>
      </c>
      <c r="C158" s="46">
        <f t="shared" si="69"/>
        <v>47205</v>
      </c>
      <c r="D158" s="47">
        <f t="array" ref="D158">FORECAST(B158,$D$146:$D$155,$B$146:$B$155)</f>
        <v>-37409.509090909087</v>
      </c>
      <c r="E158" s="48">
        <f t="shared" si="70"/>
        <v>6.5296555571011439E-2</v>
      </c>
    </row>
    <row r="159" spans="2:5" x14ac:dyDescent="0.3">
      <c r="B159" s="45">
        <f t="shared" si="68"/>
        <v>14</v>
      </c>
      <c r="C159" s="46">
        <f t="shared" si="69"/>
        <v>47570</v>
      </c>
      <c r="D159" s="47">
        <f t="array" ref="D159">FORECAST(B159,$D$146:$D$155,$B$146:$B$155)</f>
        <v>-39702.496969696964</v>
      </c>
      <c r="E159" s="48">
        <f t="shared" si="70"/>
        <v>6.1294252036712793E-2</v>
      </c>
    </row>
    <row r="160" spans="2:5" x14ac:dyDescent="0.3">
      <c r="B160" s="45">
        <f t="shared" si="68"/>
        <v>15</v>
      </c>
      <c r="C160" s="46">
        <f t="shared" si="69"/>
        <v>47935</v>
      </c>
      <c r="D160" s="47">
        <f t="array" ref="D160">FORECAST(B160,$D$146:$D$155,$B$146:$B$155)</f>
        <v>-41995.484848484848</v>
      </c>
      <c r="E160" s="48">
        <f t="shared" si="70"/>
        <v>5.7754248568749E-2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EBC6-182B-4569-AB2B-CD7676ECC6A9}">
  <sheetPr>
    <tabColor rgb="FF7030A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A4C1-A14E-4F5E-9061-6690C3FAF3A7}">
  <sheetPr>
    <tabColor rgb="FF92D050"/>
  </sheetPr>
  <dimension ref="A3:J44"/>
  <sheetViews>
    <sheetView showGridLines="0" tabSelected="1" topLeftCell="A4" workbookViewId="0">
      <selection activeCell="L43" sqref="L43"/>
    </sheetView>
  </sheetViews>
  <sheetFormatPr defaultRowHeight="14.4" x14ac:dyDescent="0.3"/>
  <cols>
    <col min="1" max="1" width="1.6640625" customWidth="1"/>
    <col min="4" max="4" width="9" bestFit="1" customWidth="1"/>
    <col min="5" max="5" width="10.44140625" bestFit="1" customWidth="1"/>
  </cols>
  <sheetData>
    <row r="3" spans="1:10" ht="18" x14ac:dyDescent="0.35">
      <c r="A3" t="s">
        <v>206</v>
      </c>
      <c r="B3" s="84" t="s">
        <v>207</v>
      </c>
      <c r="C3" s="85"/>
      <c r="D3" s="85"/>
      <c r="E3" s="85"/>
      <c r="F3" s="86"/>
      <c r="G3" s="86"/>
      <c r="H3" s="86"/>
      <c r="I3" s="86"/>
      <c r="J3" s="86"/>
    </row>
    <row r="5" spans="1:10" x14ac:dyDescent="0.3">
      <c r="B5" s="106" t="s">
        <v>166</v>
      </c>
      <c r="C5" s="80"/>
      <c r="D5" s="80"/>
      <c r="E5" s="80"/>
      <c r="F5" s="80"/>
      <c r="G5" s="80"/>
      <c r="H5" s="80"/>
      <c r="I5" s="80"/>
      <c r="J5" s="80"/>
    </row>
    <row r="7" spans="1:10" x14ac:dyDescent="0.3">
      <c r="B7" s="81" t="s">
        <v>167</v>
      </c>
      <c r="C7" s="80"/>
      <c r="D7" s="80"/>
      <c r="E7" s="80"/>
      <c r="F7" s="80"/>
      <c r="G7" s="80"/>
      <c r="H7" s="80"/>
      <c r="I7" s="80"/>
      <c r="J7" s="80"/>
    </row>
    <row r="8" spans="1:10" x14ac:dyDescent="0.3">
      <c r="B8" s="82"/>
      <c r="C8" s="82"/>
      <c r="D8" s="82"/>
      <c r="E8" s="82"/>
      <c r="F8" s="89"/>
      <c r="G8" s="89" t="s">
        <v>168</v>
      </c>
      <c r="H8" s="89" t="s">
        <v>168</v>
      </c>
      <c r="I8" s="89" t="s">
        <v>169</v>
      </c>
      <c r="J8" s="89" t="s">
        <v>170</v>
      </c>
    </row>
    <row r="9" spans="1:10" ht="16.2" x14ac:dyDescent="0.3">
      <c r="B9" s="83" t="s">
        <v>171</v>
      </c>
      <c r="C9" s="83" t="s">
        <v>172</v>
      </c>
      <c r="D9" s="90" t="s">
        <v>173</v>
      </c>
      <c r="E9" s="90" t="s">
        <v>174</v>
      </c>
      <c r="F9" s="90" t="s">
        <v>175</v>
      </c>
      <c r="G9" s="90" t="s">
        <v>176</v>
      </c>
      <c r="H9" s="90" t="s">
        <v>177</v>
      </c>
      <c r="I9" s="90" t="s">
        <v>178</v>
      </c>
      <c r="J9" s="90" t="s">
        <v>179</v>
      </c>
    </row>
    <row r="10" spans="1:10" ht="14.4" customHeight="1" x14ac:dyDescent="0.3">
      <c r="B10" s="140">
        <v>1</v>
      </c>
      <c r="C10" s="88" t="s">
        <v>266</v>
      </c>
      <c r="D10" s="143">
        <v>11283</v>
      </c>
      <c r="E10" s="143">
        <v>744077.8</v>
      </c>
      <c r="F10" s="147">
        <v>0.27</v>
      </c>
      <c r="G10" s="146">
        <f>IFERROR(D10/E10,0)</f>
        <v>1.5163736910306959E-2</v>
      </c>
      <c r="H10" s="146">
        <f>IFERROR(D10/(D10+E10),0)</f>
        <v>1.4937232644320435E-2</v>
      </c>
      <c r="I10" s="91">
        <v>0.24</v>
      </c>
      <c r="J10" s="152">
        <f>I10/(1+(1-F10)*G10)</f>
        <v>0.23737239958948544</v>
      </c>
    </row>
    <row r="11" spans="1:10" x14ac:dyDescent="0.3">
      <c r="B11" s="141">
        <v>2</v>
      </c>
      <c r="C11" s="80" t="str">
        <f>'Data Sheet'!B1</f>
        <v>INFOSYS LTD</v>
      </c>
      <c r="D11" s="144">
        <v>9176</v>
      </c>
      <c r="E11" s="144">
        <v>421825.86</v>
      </c>
      <c r="F11" s="147">
        <v>0.27</v>
      </c>
      <c r="G11" s="146">
        <f t="shared" ref="G11:G14" si="0">IFERROR(D11/E11,0)</f>
        <v>2.1753052314052061E-2</v>
      </c>
      <c r="H11" s="146">
        <f t="shared" ref="H11:H14" si="1">IFERROR(D11/(D11+E11),0)</f>
        <v>2.1289931324194288E-2</v>
      </c>
      <c r="I11" s="91">
        <v>0.68</v>
      </c>
      <c r="J11" s="152">
        <f t="shared" ref="J11:J14" si="2">I11/(1+(1-F11)*G11)</f>
        <v>0.66937057717654969</v>
      </c>
    </row>
    <row r="12" spans="1:10" x14ac:dyDescent="0.3">
      <c r="B12" s="140">
        <v>3</v>
      </c>
      <c r="C12" s="88" t="s">
        <v>267</v>
      </c>
      <c r="D12" s="143">
        <v>5215</v>
      </c>
      <c r="E12" s="143">
        <v>307105.46000000002</v>
      </c>
      <c r="F12" s="147">
        <v>0.27</v>
      </c>
      <c r="G12" s="146">
        <f t="shared" si="0"/>
        <v>1.6981137359133893E-2</v>
      </c>
      <c r="H12" s="146">
        <f t="shared" si="1"/>
        <v>1.6697593234846028E-2</v>
      </c>
      <c r="I12" s="91">
        <v>0.8</v>
      </c>
      <c r="J12" s="152">
        <f t="shared" si="2"/>
        <v>0.79020444375314569</v>
      </c>
    </row>
    <row r="13" spans="1:10" x14ac:dyDescent="0.3">
      <c r="B13" s="142">
        <v>4</v>
      </c>
      <c r="C13" s="88" t="s">
        <v>268</v>
      </c>
      <c r="D13" s="145">
        <v>20291</v>
      </c>
      <c r="E13" s="145">
        <v>172569.32</v>
      </c>
      <c r="F13" s="147">
        <v>0.27</v>
      </c>
      <c r="G13" s="146">
        <f t="shared" si="0"/>
        <v>0.11758173469073181</v>
      </c>
      <c r="H13" s="146">
        <f t="shared" si="1"/>
        <v>0.1052108593411024</v>
      </c>
      <c r="I13" s="91">
        <v>0.38</v>
      </c>
      <c r="J13" s="152">
        <f t="shared" si="2"/>
        <v>0.34996119739515724</v>
      </c>
    </row>
    <row r="14" spans="1:10" x14ac:dyDescent="0.3">
      <c r="B14" s="140">
        <v>5</v>
      </c>
      <c r="C14" s="88" t="s">
        <v>269</v>
      </c>
      <c r="D14" s="143">
        <v>2186.1999999999998</v>
      </c>
      <c r="E14" s="143">
        <v>137761.79</v>
      </c>
      <c r="F14" s="147">
        <v>0.27</v>
      </c>
      <c r="G14" s="146">
        <f t="shared" si="0"/>
        <v>1.5869422138025353E-2</v>
      </c>
      <c r="H14" s="146">
        <f t="shared" si="1"/>
        <v>1.5621517679532229E-2</v>
      </c>
      <c r="I14" s="91">
        <v>0.6</v>
      </c>
      <c r="J14" s="152">
        <f t="shared" si="2"/>
        <v>0.59312879381576544</v>
      </c>
    </row>
    <row r="15" spans="1:10" x14ac:dyDescent="0.3">
      <c r="B15" s="88"/>
      <c r="C15" s="88"/>
      <c r="D15" s="115"/>
      <c r="E15" s="115"/>
      <c r="F15" s="93"/>
      <c r="G15" s="96"/>
      <c r="H15" s="96"/>
      <c r="I15" s="91"/>
      <c r="J15" s="97"/>
    </row>
    <row r="16" spans="1:10" x14ac:dyDescent="0.3">
      <c r="B16" s="80"/>
      <c r="C16" s="80"/>
      <c r="D16" s="80"/>
      <c r="E16" s="80"/>
      <c r="F16" s="94"/>
      <c r="G16" s="80"/>
      <c r="H16" s="80"/>
      <c r="I16" s="80"/>
      <c r="J16" s="80"/>
    </row>
    <row r="17" spans="2:10" x14ac:dyDescent="0.3">
      <c r="B17" s="80"/>
      <c r="C17" s="80"/>
      <c r="D17" s="80"/>
      <c r="E17" s="154" t="s">
        <v>180</v>
      </c>
      <c r="F17" s="155">
        <f>AVERAGE(F10:F14)</f>
        <v>0.27</v>
      </c>
      <c r="G17" s="155">
        <f t="shared" ref="G17:J17" si="3">AVERAGE(G10:G14)</f>
        <v>3.7469816682450016E-2</v>
      </c>
      <c r="H17" s="155">
        <f t="shared" si="3"/>
        <v>3.475142684479908E-2</v>
      </c>
      <c r="I17" s="155">
        <f t="shared" si="3"/>
        <v>0.54</v>
      </c>
      <c r="J17" s="155">
        <f t="shared" si="3"/>
        <v>0.5280074823460208</v>
      </c>
    </row>
    <row r="18" spans="2:10" x14ac:dyDescent="0.3">
      <c r="B18" s="80"/>
      <c r="C18" s="80"/>
      <c r="D18" s="80"/>
      <c r="E18" s="154" t="s">
        <v>181</v>
      </c>
      <c r="F18" s="155">
        <f>MEDIAN(F11:F15)</f>
        <v>0.27</v>
      </c>
      <c r="G18" s="155">
        <f t="shared" ref="G18:J18" si="4">MEDIAN(G11:G15)</f>
        <v>1.9367094836592977E-2</v>
      </c>
      <c r="H18" s="155">
        <f t="shared" si="4"/>
        <v>1.8993762279520158E-2</v>
      </c>
      <c r="I18" s="155">
        <f t="shared" si="4"/>
        <v>0.64</v>
      </c>
      <c r="J18" s="155">
        <f t="shared" si="4"/>
        <v>0.63124968549615756</v>
      </c>
    </row>
    <row r="19" spans="2:10" x14ac:dyDescent="0.3">
      <c r="B19" s="80"/>
      <c r="C19" s="80"/>
      <c r="D19" s="80"/>
      <c r="E19" s="80"/>
      <c r="F19" s="80"/>
      <c r="G19" s="87"/>
      <c r="H19" s="80"/>
      <c r="I19" s="80"/>
      <c r="J19" s="80"/>
    </row>
    <row r="20" spans="2:10" x14ac:dyDescent="0.3">
      <c r="B20" s="80"/>
      <c r="C20" s="80"/>
      <c r="D20" s="80"/>
      <c r="E20" s="80"/>
      <c r="F20" s="80"/>
      <c r="G20" s="87"/>
      <c r="H20" s="80"/>
      <c r="I20" s="80"/>
      <c r="J20" s="80"/>
    </row>
    <row r="21" spans="2:10" x14ac:dyDescent="0.3">
      <c r="B21" s="95" t="s">
        <v>182</v>
      </c>
      <c r="C21" s="98"/>
      <c r="D21" s="98"/>
      <c r="E21" s="98"/>
      <c r="F21" s="80"/>
      <c r="G21" s="95" t="s">
        <v>183</v>
      </c>
      <c r="H21" s="98"/>
      <c r="I21" s="98"/>
      <c r="J21" s="98"/>
    </row>
    <row r="22" spans="2:10" x14ac:dyDescent="0.3">
      <c r="B22" s="87"/>
      <c r="C22" s="80"/>
      <c r="D22" s="80"/>
      <c r="E22" s="80"/>
      <c r="F22" s="80"/>
      <c r="G22" s="87"/>
      <c r="H22" s="80"/>
      <c r="I22" s="80"/>
      <c r="J22" s="80"/>
    </row>
    <row r="23" spans="2:10" x14ac:dyDescent="0.3">
      <c r="B23" s="80" t="s">
        <v>184</v>
      </c>
      <c r="C23" s="80"/>
      <c r="D23" s="80"/>
      <c r="E23" s="92">
        <f>'Profit &amp; Loss'!K16/WACC!D11</f>
        <v>4.5335658238884045E-2</v>
      </c>
      <c r="F23" s="80"/>
      <c r="G23" s="80" t="s">
        <v>185</v>
      </c>
      <c r="H23" s="80"/>
      <c r="I23" s="80"/>
      <c r="J23" s="109">
        <v>6.7500000000000004E-2</v>
      </c>
    </row>
    <row r="24" spans="2:10" x14ac:dyDescent="0.3">
      <c r="B24" s="80" t="s">
        <v>186</v>
      </c>
      <c r="C24" s="80"/>
      <c r="D24" s="80"/>
      <c r="E24" s="94">
        <v>0.27</v>
      </c>
      <c r="F24" s="80"/>
      <c r="G24" s="80" t="s">
        <v>187</v>
      </c>
      <c r="H24" s="80"/>
      <c r="I24" s="80"/>
      <c r="J24" s="108">
        <f>J23-5.73%</f>
        <v>1.0200000000000001E-2</v>
      </c>
    </row>
    <row r="25" spans="2:10" ht="16.2" x14ac:dyDescent="0.3">
      <c r="B25" s="100" t="s">
        <v>188</v>
      </c>
      <c r="C25" s="100"/>
      <c r="D25" s="100"/>
      <c r="E25" s="103">
        <f>E23*(1-E24)</f>
        <v>3.3095030514385351E-2</v>
      </c>
      <c r="F25" s="80"/>
      <c r="G25" s="80" t="s">
        <v>189</v>
      </c>
      <c r="H25" s="80"/>
      <c r="I25" s="80"/>
      <c r="J25" s="110">
        <f>J34</f>
        <v>0.65753155972237753</v>
      </c>
    </row>
    <row r="26" spans="2:10" x14ac:dyDescent="0.3">
      <c r="B26" s="80"/>
      <c r="C26" s="80"/>
      <c r="D26" s="80"/>
      <c r="E26" s="80"/>
      <c r="F26" s="80"/>
      <c r="G26" s="100" t="s">
        <v>183</v>
      </c>
      <c r="H26" s="100"/>
      <c r="I26" s="100"/>
      <c r="J26" s="111">
        <f>J23+(J24*J25)</f>
        <v>7.4206821909168261E-2</v>
      </c>
    </row>
    <row r="29" spans="2:10" x14ac:dyDescent="0.3">
      <c r="B29" s="95" t="s">
        <v>190</v>
      </c>
      <c r="C29" s="98"/>
      <c r="D29" s="98"/>
      <c r="E29" s="98"/>
      <c r="F29" s="80"/>
      <c r="G29" s="95" t="s">
        <v>191</v>
      </c>
      <c r="H29" s="98"/>
      <c r="I29" s="98"/>
      <c r="J29" s="98"/>
    </row>
    <row r="30" spans="2:10" x14ac:dyDescent="0.3">
      <c r="B30" s="80"/>
      <c r="C30" s="80"/>
      <c r="D30" s="80"/>
      <c r="E30" s="80"/>
      <c r="F30" s="80"/>
      <c r="G30" s="81"/>
      <c r="H30" s="80"/>
      <c r="I30" s="80"/>
      <c r="J30" s="80"/>
    </row>
    <row r="31" spans="2:10" x14ac:dyDescent="0.3">
      <c r="B31" s="80"/>
      <c r="C31" s="80"/>
      <c r="D31" s="99" t="s">
        <v>192</v>
      </c>
      <c r="E31" s="99" t="s">
        <v>193</v>
      </c>
      <c r="F31" s="80"/>
      <c r="G31" s="87" t="s">
        <v>194</v>
      </c>
      <c r="H31" s="80"/>
      <c r="I31" s="80"/>
      <c r="J31" s="87">
        <f>J18</f>
        <v>0.63124968549615756</v>
      </c>
    </row>
    <row r="32" spans="2:10" x14ac:dyDescent="0.3">
      <c r="B32" s="80" t="s">
        <v>173</v>
      </c>
      <c r="C32" s="115">
        <f>D11</f>
        <v>9176</v>
      </c>
      <c r="D32" s="92">
        <f>C32/$C$34</f>
        <v>2.1289931324194288E-2</v>
      </c>
      <c r="E32" s="94">
        <f>H17</f>
        <v>3.475142684479908E-2</v>
      </c>
      <c r="F32" s="80"/>
      <c r="G32" s="80" t="s">
        <v>195</v>
      </c>
      <c r="H32" s="80"/>
      <c r="I32" s="80"/>
      <c r="J32" s="104">
        <f>E36</f>
        <v>3.6002567433178111E-2</v>
      </c>
    </row>
    <row r="33" spans="2:10" x14ac:dyDescent="0.3">
      <c r="B33" s="80" t="s">
        <v>50</v>
      </c>
      <c r="C33" s="115">
        <f>E11</f>
        <v>421825.86</v>
      </c>
      <c r="D33" s="157">
        <f t="shared" ref="D33:D34" si="5">C33/$C$34</f>
        <v>0.97871006867580568</v>
      </c>
      <c r="E33" s="94">
        <f>E34-E32</f>
        <v>0.96524857315520096</v>
      </c>
      <c r="F33" s="80"/>
      <c r="G33" s="80" t="s">
        <v>186</v>
      </c>
      <c r="H33" s="80"/>
      <c r="I33" s="80"/>
      <c r="J33" s="94">
        <f>F11</f>
        <v>0.27</v>
      </c>
    </row>
    <row r="34" spans="2:10" x14ac:dyDescent="0.3">
      <c r="B34" s="80" t="s">
        <v>196</v>
      </c>
      <c r="C34" s="156">
        <f>C32+C33</f>
        <v>431001.86</v>
      </c>
      <c r="D34" s="92">
        <f t="shared" si="5"/>
        <v>1</v>
      </c>
      <c r="E34" s="101">
        <f>D34</f>
        <v>1</v>
      </c>
      <c r="F34" s="80"/>
      <c r="G34" s="100" t="s">
        <v>197</v>
      </c>
      <c r="H34" s="100"/>
      <c r="I34" s="100"/>
      <c r="J34" s="105">
        <f>J31/1+(1-J33)*J32</f>
        <v>0.65753155972237753</v>
      </c>
    </row>
    <row r="36" spans="2:10" x14ac:dyDescent="0.3">
      <c r="B36" s="80" t="s">
        <v>198</v>
      </c>
      <c r="C36" s="80"/>
      <c r="D36" s="102">
        <f>D32/D33</f>
        <v>2.1753052314052064E-2</v>
      </c>
      <c r="E36" s="102">
        <f>E32/E33</f>
        <v>3.6002567433178111E-2</v>
      </c>
      <c r="F36" s="80"/>
      <c r="G36" s="95" t="s">
        <v>165</v>
      </c>
      <c r="H36" s="98"/>
      <c r="I36" s="98"/>
      <c r="J36" s="98"/>
    </row>
    <row r="37" spans="2:10" x14ac:dyDescent="0.3">
      <c r="B37" s="80"/>
      <c r="C37" s="80"/>
      <c r="D37" s="80"/>
      <c r="E37" s="80"/>
      <c r="F37" s="80"/>
      <c r="G37" s="87"/>
      <c r="H37" s="80"/>
      <c r="I37" s="80"/>
      <c r="J37" s="80"/>
    </row>
    <row r="38" spans="2:10" x14ac:dyDescent="0.3">
      <c r="B38" s="107" t="s">
        <v>199</v>
      </c>
      <c r="C38" s="80"/>
      <c r="D38" s="80"/>
      <c r="E38" s="80"/>
      <c r="F38" s="80"/>
      <c r="G38" s="80" t="s">
        <v>183</v>
      </c>
      <c r="H38" s="80"/>
      <c r="I38" s="80"/>
      <c r="J38" s="112">
        <f>J26</f>
        <v>7.4206821909168261E-2</v>
      </c>
    </row>
    <row r="39" spans="2:10" x14ac:dyDescent="0.3">
      <c r="B39" s="107" t="s">
        <v>200</v>
      </c>
      <c r="C39" s="80"/>
      <c r="D39" s="80"/>
      <c r="E39" s="80"/>
      <c r="F39" s="80"/>
      <c r="G39" s="80" t="s">
        <v>201</v>
      </c>
      <c r="H39" s="80"/>
      <c r="I39" s="80"/>
      <c r="J39" s="94">
        <f>E33</f>
        <v>0.96524857315520096</v>
      </c>
    </row>
    <row r="40" spans="2:10" x14ac:dyDescent="0.3">
      <c r="B40" s="107" t="s">
        <v>202</v>
      </c>
      <c r="C40" s="80"/>
      <c r="D40" s="80"/>
      <c r="E40" s="80"/>
      <c r="F40" s="80"/>
      <c r="G40" s="80"/>
      <c r="H40" s="80"/>
      <c r="I40" s="80"/>
      <c r="J40" s="112"/>
    </row>
    <row r="41" spans="2:10" x14ac:dyDescent="0.3">
      <c r="B41" s="107" t="s">
        <v>203</v>
      </c>
      <c r="C41" s="80"/>
      <c r="D41" s="80"/>
      <c r="E41" s="80"/>
      <c r="F41" s="80"/>
      <c r="G41" s="80" t="s">
        <v>182</v>
      </c>
      <c r="H41" s="80"/>
      <c r="I41" s="80"/>
      <c r="J41" s="94">
        <f>E25</f>
        <v>3.3095030514385351E-2</v>
      </c>
    </row>
    <row r="42" spans="2:10" x14ac:dyDescent="0.3">
      <c r="B42" s="80"/>
      <c r="C42" s="80"/>
      <c r="D42" s="80"/>
      <c r="E42" s="80"/>
      <c r="F42" s="80"/>
      <c r="G42" s="80" t="s">
        <v>204</v>
      </c>
      <c r="H42" s="80"/>
      <c r="I42" s="80"/>
      <c r="J42" s="94">
        <f>E32</f>
        <v>3.475142684479908E-2</v>
      </c>
    </row>
    <row r="44" spans="2:10" x14ac:dyDescent="0.3">
      <c r="B44" s="80"/>
      <c r="C44" s="80"/>
      <c r="D44" s="80"/>
      <c r="E44" s="80"/>
      <c r="F44" s="80"/>
      <c r="G44" s="113" t="s">
        <v>205</v>
      </c>
      <c r="H44" s="113"/>
      <c r="I44" s="113"/>
      <c r="J44" s="114">
        <f>SUMPRODUCT(J38:J39,J41:J42)</f>
        <v>3.5999642212509141E-2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E265-8FE8-4944-A8F9-CA849743A0EA}">
  <sheetPr>
    <tabColor rgb="FFFFFF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C4AE8-6FC1-4282-BD5B-F7C0C5617949}">
  <sheetPr>
    <tabColor rgb="FF0070C0"/>
  </sheetPr>
  <dimension ref="B3:K65"/>
  <sheetViews>
    <sheetView showGridLines="0" topLeftCell="A43" workbookViewId="0">
      <selection activeCell="N45" sqref="N45"/>
    </sheetView>
  </sheetViews>
  <sheetFormatPr defaultRowHeight="14.4" x14ac:dyDescent="0.3"/>
  <cols>
    <col min="1" max="1" width="2" customWidth="1"/>
  </cols>
  <sheetData>
    <row r="3" spans="2:11" x14ac:dyDescent="0.3">
      <c r="B3" s="116" t="s">
        <v>208</v>
      </c>
      <c r="C3" s="117"/>
      <c r="D3" s="117"/>
      <c r="E3" s="117"/>
      <c r="F3" s="117"/>
      <c r="G3" s="119">
        <f>Annual[[#This Row],[Column7]]</f>
        <v>44651</v>
      </c>
      <c r="H3" s="119">
        <f>Annual[[#This Row],[Column8]]</f>
        <v>45016</v>
      </c>
      <c r="I3" s="119">
        <f>Annual[[#This Row],[Column9]]</f>
        <v>45382</v>
      </c>
      <c r="J3" s="119">
        <f>Annual[[#This Row],[Column10]]</f>
        <v>45747</v>
      </c>
      <c r="K3" s="119">
        <f>Annual[[#This Row],[Column11]]</f>
        <v>46112</v>
      </c>
    </row>
    <row r="5" spans="2:11" x14ac:dyDescent="0.3">
      <c r="B5" s="81" t="s">
        <v>209</v>
      </c>
      <c r="C5" s="80"/>
      <c r="D5" s="80"/>
      <c r="E5" s="80"/>
      <c r="F5" s="80"/>
      <c r="G5" s="80"/>
      <c r="H5" s="80"/>
      <c r="I5" s="80"/>
      <c r="J5" s="80"/>
      <c r="K5" s="80"/>
    </row>
    <row r="6" spans="2:11" x14ac:dyDescent="0.3">
      <c r="B6" s="120" t="s">
        <v>210</v>
      </c>
      <c r="C6" s="120"/>
      <c r="D6" s="120"/>
      <c r="E6" s="120"/>
      <c r="F6" s="120"/>
      <c r="G6" s="121">
        <v>0</v>
      </c>
      <c r="H6" s="121">
        <v>0</v>
      </c>
      <c r="I6" s="121">
        <v>0</v>
      </c>
      <c r="J6" s="121">
        <v>0</v>
      </c>
      <c r="K6" s="121">
        <v>0</v>
      </c>
    </row>
    <row r="7" spans="2:11" x14ac:dyDescent="0.3">
      <c r="B7" s="120" t="s">
        <v>211</v>
      </c>
      <c r="C7" s="120"/>
      <c r="D7" s="120"/>
      <c r="E7" s="120"/>
      <c r="F7" s="120"/>
      <c r="G7" s="121">
        <f>'RAW FS'!E31</f>
        <v>22698</v>
      </c>
      <c r="H7" s="121">
        <f>'RAW FS'!F31</f>
        <v>25424</v>
      </c>
      <c r="I7" s="121">
        <f>'RAW FS'!G31</f>
        <v>30193</v>
      </c>
      <c r="J7" s="121">
        <f>'RAW FS'!H31</f>
        <v>31158</v>
      </c>
      <c r="K7" s="121">
        <f>'RAW FS'!I31</f>
        <v>35234</v>
      </c>
    </row>
    <row r="8" spans="2:11" x14ac:dyDescent="0.3">
      <c r="B8" s="120" t="s">
        <v>212</v>
      </c>
      <c r="C8" s="120"/>
      <c r="D8" s="120"/>
      <c r="E8" s="120"/>
      <c r="F8" s="120"/>
      <c r="G8" s="121">
        <f>'RAW FS'!E33</f>
        <v>2491</v>
      </c>
      <c r="H8" s="121">
        <f>'RAW FS'!F33</f>
        <v>3242</v>
      </c>
      <c r="I8" s="121">
        <f>'RAW FS'!G33</f>
        <v>10330</v>
      </c>
      <c r="J8" s="121">
        <f>'RAW FS'!H33</f>
        <v>6717</v>
      </c>
      <c r="K8" s="121">
        <f>'RAW FS'!I33</f>
        <v>6808</v>
      </c>
    </row>
    <row r="9" spans="2:11" x14ac:dyDescent="0.3">
      <c r="B9" s="80" t="s">
        <v>213</v>
      </c>
      <c r="C9" s="80"/>
      <c r="D9" s="80"/>
      <c r="E9" s="80"/>
      <c r="F9" s="80"/>
      <c r="G9" s="122">
        <f>'RAW FS'!E34</f>
        <v>27528</v>
      </c>
      <c r="H9" s="122">
        <f>'RAW FS'!F34</f>
        <v>34766</v>
      </c>
      <c r="I9" s="122">
        <f>'RAW FS'!G34</f>
        <v>28173</v>
      </c>
      <c r="J9" s="122">
        <f>'RAW FS'!H34</f>
        <v>30149</v>
      </c>
      <c r="K9" s="122">
        <f>'RAW FS'!I34</f>
        <v>33869</v>
      </c>
    </row>
    <row r="10" spans="2:11" x14ac:dyDescent="0.3">
      <c r="B10" s="124" t="s">
        <v>214</v>
      </c>
      <c r="C10" s="82"/>
      <c r="D10" s="82"/>
      <c r="E10" s="82"/>
      <c r="F10" s="82"/>
      <c r="G10" s="128">
        <f>SUM(G6:G9)</f>
        <v>52717</v>
      </c>
      <c r="H10" s="128">
        <f t="shared" ref="H10:K10" si="0">SUM(H6:H9)</f>
        <v>63432</v>
      </c>
      <c r="I10" s="128">
        <f t="shared" si="0"/>
        <v>68696</v>
      </c>
      <c r="J10" s="128">
        <f t="shared" si="0"/>
        <v>68024</v>
      </c>
      <c r="K10" s="128">
        <f t="shared" si="0"/>
        <v>75911</v>
      </c>
    </row>
    <row r="11" spans="2:11" x14ac:dyDescent="0.3">
      <c r="B11" s="80"/>
      <c r="C11" s="80"/>
      <c r="D11" s="80"/>
      <c r="E11" s="80"/>
      <c r="F11" s="80"/>
      <c r="G11" s="122"/>
      <c r="H11" s="122"/>
      <c r="I11" s="122"/>
      <c r="J11" s="122"/>
      <c r="K11" s="122"/>
    </row>
    <row r="12" spans="2:11" x14ac:dyDescent="0.3">
      <c r="B12" s="81" t="s">
        <v>215</v>
      </c>
      <c r="C12" s="80"/>
      <c r="D12" s="80"/>
      <c r="E12" s="80"/>
      <c r="F12" s="80"/>
      <c r="G12" s="122"/>
      <c r="H12" s="122"/>
      <c r="I12" s="122"/>
      <c r="J12" s="122"/>
      <c r="K12" s="122"/>
    </row>
    <row r="13" spans="2:11" x14ac:dyDescent="0.3">
      <c r="B13" s="120" t="s">
        <v>216</v>
      </c>
      <c r="C13" s="120"/>
      <c r="D13" s="120"/>
      <c r="E13" s="120"/>
      <c r="F13" s="120"/>
      <c r="G13" s="121">
        <f>'RAW FS'!E12</f>
        <v>4134</v>
      </c>
      <c r="H13" s="121">
        <f>'RAW FS'!F12</f>
        <v>3865</v>
      </c>
      <c r="I13" s="121">
        <f>'RAW FS'!G12</f>
        <v>3956</v>
      </c>
      <c r="J13" s="121">
        <f>'RAW FS'!H12</f>
        <v>4164</v>
      </c>
      <c r="K13" s="121">
        <f>'RAW FS'!I12</f>
        <v>4744</v>
      </c>
    </row>
    <row r="14" spans="2:11" x14ac:dyDescent="0.3">
      <c r="B14" s="120" t="s">
        <v>315</v>
      </c>
      <c r="C14" s="120"/>
      <c r="D14" s="120"/>
      <c r="E14" s="120"/>
      <c r="F14" s="120"/>
      <c r="G14" s="121">
        <f>'RAW FS'!E13</f>
        <v>0</v>
      </c>
      <c r="H14" s="121">
        <f>'RAW FS'!F13</f>
        <v>0</v>
      </c>
      <c r="I14" s="121">
        <f>'RAW FS'!G13</f>
        <v>0</v>
      </c>
      <c r="J14" s="121">
        <f>'RAW FS'!H13</f>
        <v>0</v>
      </c>
      <c r="K14" s="121">
        <f>'RAW FS'!I13</f>
        <v>0</v>
      </c>
    </row>
    <row r="15" spans="2:11" x14ac:dyDescent="0.3">
      <c r="B15" s="120" t="s">
        <v>217</v>
      </c>
      <c r="C15" s="120"/>
      <c r="D15" s="120"/>
      <c r="E15" s="120"/>
      <c r="F15" s="120"/>
      <c r="G15" s="121">
        <f>'RAW FS'!E14</f>
        <v>31385</v>
      </c>
      <c r="H15" s="121">
        <f>'RAW FS'!F14</f>
        <v>36637</v>
      </c>
      <c r="I15" s="121">
        <f>'RAW FS'!G14</f>
        <v>35244</v>
      </c>
      <c r="J15" s="121">
        <f>'RAW FS'!H14</f>
        <v>39201</v>
      </c>
      <c r="K15" s="121">
        <f>'RAW FS'!I14</f>
        <v>47071</v>
      </c>
    </row>
    <row r="16" spans="2:11" x14ac:dyDescent="0.3">
      <c r="B16" s="124" t="s">
        <v>218</v>
      </c>
      <c r="C16" s="82"/>
      <c r="D16" s="82"/>
      <c r="E16" s="82"/>
      <c r="F16" s="82"/>
      <c r="G16" s="128">
        <f>SUM(G13:G15)</f>
        <v>35519</v>
      </c>
      <c r="H16" s="128">
        <f t="shared" ref="H16:K16" si="1">SUM(H13:H15)</f>
        <v>40502</v>
      </c>
      <c r="I16" s="128">
        <f t="shared" si="1"/>
        <v>39200</v>
      </c>
      <c r="J16" s="128">
        <f t="shared" si="1"/>
        <v>43365</v>
      </c>
      <c r="K16" s="128">
        <f t="shared" si="1"/>
        <v>51815</v>
      </c>
    </row>
    <row r="17" spans="2:11" x14ac:dyDescent="0.3">
      <c r="B17" s="80"/>
      <c r="C17" s="80"/>
      <c r="D17" s="80"/>
      <c r="E17" s="80"/>
      <c r="F17" s="80"/>
      <c r="G17" s="122"/>
      <c r="H17" s="122"/>
      <c r="I17" s="122"/>
      <c r="J17" s="122"/>
      <c r="K17" s="122"/>
    </row>
    <row r="18" spans="2:11" ht="15" thickBot="1" x14ac:dyDescent="0.35">
      <c r="B18" s="125" t="s">
        <v>219</v>
      </c>
      <c r="C18" s="125"/>
      <c r="D18" s="125"/>
      <c r="E18" s="125"/>
      <c r="F18" s="125"/>
      <c r="G18" s="129">
        <f>G10-G16</f>
        <v>17198</v>
      </c>
      <c r="H18" s="129">
        <f t="shared" ref="H18:K18" si="2">H10-H16</f>
        <v>22930</v>
      </c>
      <c r="I18" s="129">
        <f t="shared" si="2"/>
        <v>29496</v>
      </c>
      <c r="J18" s="129">
        <f t="shared" si="2"/>
        <v>24659</v>
      </c>
      <c r="K18" s="129">
        <f t="shared" si="2"/>
        <v>24096</v>
      </c>
    </row>
    <row r="19" spans="2:11" x14ac:dyDescent="0.3">
      <c r="B19" s="80"/>
      <c r="C19" s="80"/>
      <c r="D19" s="80"/>
      <c r="E19" s="80"/>
      <c r="F19" s="80"/>
      <c r="G19" s="122"/>
      <c r="H19" s="122"/>
      <c r="I19" s="122"/>
      <c r="J19" s="122"/>
      <c r="K19" s="122"/>
    </row>
    <row r="20" spans="2:11" x14ac:dyDescent="0.3">
      <c r="B20" s="81" t="s">
        <v>220</v>
      </c>
      <c r="C20" s="80"/>
      <c r="D20" s="80"/>
      <c r="E20" s="80"/>
      <c r="F20" s="80"/>
      <c r="G20" s="122"/>
      <c r="H20" s="122"/>
      <c r="I20" s="122"/>
      <c r="J20" s="122"/>
      <c r="K20" s="122"/>
    </row>
    <row r="21" spans="2:11" x14ac:dyDescent="0.3">
      <c r="B21" s="120" t="s">
        <v>221</v>
      </c>
      <c r="C21" s="120"/>
      <c r="D21" s="120"/>
      <c r="E21" s="120"/>
      <c r="F21" s="120"/>
      <c r="G21" s="121">
        <f>'RAW FS'!E17</f>
        <v>2066</v>
      </c>
      <c r="H21" s="121">
        <f>'RAW FS'!F17</f>
        <v>2054</v>
      </c>
      <c r="I21" s="121">
        <f>'RAW FS'!G17</f>
        <v>2037</v>
      </c>
      <c r="J21" s="121">
        <f>'RAW FS'!H17</f>
        <v>2079</v>
      </c>
      <c r="K21" s="121">
        <f>'RAW FS'!I17</f>
        <v>1990</v>
      </c>
    </row>
    <row r="22" spans="2:11" x14ac:dyDescent="0.3">
      <c r="B22" s="120" t="s">
        <v>222</v>
      </c>
      <c r="C22" s="120"/>
      <c r="D22" s="120"/>
      <c r="E22" s="120"/>
      <c r="F22" s="120"/>
      <c r="G22" s="121">
        <f>'RAW FS'!E18</f>
        <v>16760</v>
      </c>
      <c r="H22" s="121">
        <f>'RAW FS'!F18</f>
        <v>16903</v>
      </c>
      <c r="I22" s="121">
        <f>'RAW FS'!G18</f>
        <v>16515</v>
      </c>
      <c r="J22" s="121">
        <f>'RAW FS'!H18</f>
        <v>16376</v>
      </c>
      <c r="K22" s="121">
        <f>'RAW FS'!I18</f>
        <v>17193</v>
      </c>
    </row>
    <row r="23" spans="2:11" x14ac:dyDescent="0.3">
      <c r="B23" s="120" t="s">
        <v>223</v>
      </c>
      <c r="C23" s="120"/>
      <c r="D23" s="120"/>
      <c r="E23" s="120"/>
      <c r="F23" s="120"/>
      <c r="G23" s="121">
        <f>'RAW FS'!E19</f>
        <v>3210</v>
      </c>
      <c r="H23" s="121">
        <f>'RAW FS'!F19</f>
        <v>3302</v>
      </c>
      <c r="I23" s="121">
        <f>'RAW FS'!G19</f>
        <v>3428</v>
      </c>
      <c r="J23" s="121">
        <f>'RAW FS'!H19</f>
        <v>3461</v>
      </c>
      <c r="K23" s="121">
        <f>'RAW FS'!I19</f>
        <v>3714</v>
      </c>
    </row>
    <row r="24" spans="2:11" x14ac:dyDescent="0.3">
      <c r="B24" s="120" t="s">
        <v>224</v>
      </c>
      <c r="C24" s="120"/>
      <c r="D24" s="120"/>
      <c r="E24" s="120"/>
      <c r="F24" s="120"/>
      <c r="G24" s="121">
        <f>'RAW FS'!E20</f>
        <v>1427</v>
      </c>
      <c r="H24" s="121">
        <f>'RAW FS'!F20</f>
        <v>1482</v>
      </c>
      <c r="I24" s="121">
        <f>'RAW FS'!G20</f>
        <v>1528</v>
      </c>
      <c r="J24" s="121">
        <f>'RAW FS'!H20</f>
        <v>1628</v>
      </c>
      <c r="K24" s="121">
        <f>'RAW FS'!I20</f>
        <v>1732</v>
      </c>
    </row>
    <row r="25" spans="2:11" x14ac:dyDescent="0.3">
      <c r="B25" s="120" t="s">
        <v>316</v>
      </c>
      <c r="C25" s="120"/>
      <c r="D25" s="120"/>
      <c r="E25" s="120"/>
      <c r="F25" s="120"/>
      <c r="G25" s="121">
        <f>'RAW FS'!E21</f>
        <v>9936</v>
      </c>
      <c r="H25" s="121">
        <f>'RAW FS'!F21</f>
        <v>11898</v>
      </c>
      <c r="I25" s="121">
        <f>'RAW FS'!G21</f>
        <v>12353</v>
      </c>
      <c r="J25" s="121">
        <f>'RAW FS'!H21</f>
        <v>12925</v>
      </c>
      <c r="K25" s="121">
        <f>'RAW FS'!I21</f>
        <v>13600</v>
      </c>
    </row>
    <row r="26" spans="2:11" x14ac:dyDescent="0.3">
      <c r="B26" s="120" t="s">
        <v>225</v>
      </c>
      <c r="C26" s="120"/>
      <c r="D26" s="120"/>
      <c r="E26" s="120"/>
      <c r="F26" s="120"/>
      <c r="G26" s="121">
        <f>'RAW FS'!E22</f>
        <v>2278</v>
      </c>
      <c r="H26" s="121">
        <f>'RAW FS'!F22</f>
        <v>2303</v>
      </c>
      <c r="I26" s="121">
        <f>'RAW FS'!G22</f>
        <v>2326</v>
      </c>
      <c r="J26" s="121">
        <f>'RAW FS'!H22</f>
        <v>2340</v>
      </c>
      <c r="K26" s="121">
        <f>'RAW FS'!I22</f>
        <v>2438</v>
      </c>
    </row>
    <row r="27" spans="2:11" x14ac:dyDescent="0.3">
      <c r="B27" s="120" t="s">
        <v>226</v>
      </c>
      <c r="C27" s="120"/>
      <c r="D27" s="120"/>
      <c r="E27" s="120"/>
      <c r="F27" s="120"/>
      <c r="G27" s="121">
        <f>'RAW FS'!E23</f>
        <v>71</v>
      </c>
      <c r="H27" s="121">
        <f>'RAW FS'!F23</f>
        <v>60</v>
      </c>
      <c r="I27" s="121">
        <f>'RAW FS'!G23</f>
        <v>62</v>
      </c>
      <c r="J27" s="121">
        <f>'RAW FS'!H23</f>
        <v>72</v>
      </c>
      <c r="K27" s="121">
        <f>'RAW FS'!I23</f>
        <v>70</v>
      </c>
    </row>
    <row r="28" spans="2:11" x14ac:dyDescent="0.3">
      <c r="B28" s="120" t="s">
        <v>227</v>
      </c>
      <c r="C28" s="120"/>
      <c r="D28" s="120"/>
      <c r="E28" s="120"/>
      <c r="F28" s="120"/>
      <c r="G28" s="121">
        <f>'RAW FS'!E24</f>
        <v>6495</v>
      </c>
      <c r="H28" s="121">
        <f>'RAW FS'!F24</f>
        <v>7594</v>
      </c>
      <c r="I28" s="121">
        <f>'RAW FS'!G24</f>
        <v>7652</v>
      </c>
      <c r="J28" s="121">
        <f>'RAW FS'!H24</f>
        <v>10626</v>
      </c>
      <c r="K28" s="121">
        <f>'RAW FS'!I24</f>
        <v>12729</v>
      </c>
    </row>
    <row r="29" spans="2:11" x14ac:dyDescent="0.3">
      <c r="B29" s="120" t="s">
        <v>228</v>
      </c>
      <c r="C29" s="120"/>
      <c r="D29" s="120"/>
      <c r="E29" s="120"/>
      <c r="F29" s="120"/>
      <c r="G29" s="121">
        <f>'RAW FS'!E25</f>
        <v>2766</v>
      </c>
      <c r="H29" s="121">
        <f>'RAW FS'!F25</f>
        <v>3281</v>
      </c>
      <c r="I29" s="121">
        <f>'RAW FS'!G25</f>
        <v>3294</v>
      </c>
      <c r="J29" s="121">
        <f>'RAW FS'!H25</f>
        <v>5184</v>
      </c>
      <c r="K29" s="121">
        <f>'RAW FS'!I25</f>
        <v>6296</v>
      </c>
    </row>
    <row r="30" spans="2:11" x14ac:dyDescent="0.3">
      <c r="B30" s="120"/>
      <c r="C30" s="120"/>
      <c r="D30" s="120"/>
      <c r="E30" s="120"/>
      <c r="F30" s="120"/>
      <c r="G30" s="121"/>
      <c r="H30" s="121"/>
      <c r="I30" s="121"/>
      <c r="J30" s="121"/>
      <c r="K30" s="121"/>
    </row>
    <row r="31" spans="2:11" x14ac:dyDescent="0.3">
      <c r="B31" s="124" t="s">
        <v>229</v>
      </c>
      <c r="C31" s="82"/>
      <c r="D31" s="82"/>
      <c r="E31" s="82"/>
      <c r="F31" s="82"/>
      <c r="G31" s="128">
        <f>SUM(G21:G29)</f>
        <v>45009</v>
      </c>
      <c r="H31" s="128">
        <f t="shared" ref="H31:K31" si="3">SUM(H21:H29)</f>
        <v>48877</v>
      </c>
      <c r="I31" s="128">
        <f t="shared" si="3"/>
        <v>49195</v>
      </c>
      <c r="J31" s="128">
        <f t="shared" si="3"/>
        <v>54691</v>
      </c>
      <c r="K31" s="128">
        <f t="shared" si="3"/>
        <v>59762</v>
      </c>
    </row>
    <row r="32" spans="2:11" x14ac:dyDescent="0.3">
      <c r="B32" s="80" t="s">
        <v>230</v>
      </c>
      <c r="C32" s="80"/>
      <c r="D32" s="80"/>
      <c r="E32" s="80"/>
      <c r="F32" s="80"/>
      <c r="G32" s="122">
        <f>'RAW FS'!E27</f>
        <v>19209</v>
      </c>
      <c r="H32" s="122">
        <f>'RAW FS'!F27</f>
        <v>19652</v>
      </c>
      <c r="I32" s="122">
        <f>'RAW FS'!G27</f>
        <v>21573</v>
      </c>
      <c r="J32" s="122">
        <f>'RAW FS'!H27</f>
        <v>23730</v>
      </c>
      <c r="K32" s="122">
        <f>'RAW FS'!I27</f>
        <v>25992</v>
      </c>
    </row>
    <row r="33" spans="2:11" ht="15" thickBot="1" x14ac:dyDescent="0.35">
      <c r="B33" s="125" t="s">
        <v>231</v>
      </c>
      <c r="C33" s="125"/>
      <c r="D33" s="125"/>
      <c r="E33" s="125"/>
      <c r="F33" s="125"/>
      <c r="G33" s="129">
        <f>SUM(G31:G32)</f>
        <v>64218</v>
      </c>
      <c r="H33" s="129">
        <f t="shared" ref="H33:K33" si="4">SUM(H31:H32)</f>
        <v>68529</v>
      </c>
      <c r="I33" s="129">
        <f t="shared" si="4"/>
        <v>70768</v>
      </c>
      <c r="J33" s="129">
        <f t="shared" si="4"/>
        <v>78421</v>
      </c>
      <c r="K33" s="129">
        <f t="shared" si="4"/>
        <v>85754</v>
      </c>
    </row>
    <row r="34" spans="2:11" x14ac:dyDescent="0.3">
      <c r="B34" s="80"/>
      <c r="C34" s="80"/>
      <c r="D34" s="80"/>
      <c r="E34" s="80"/>
      <c r="F34" s="80"/>
      <c r="G34" s="122"/>
      <c r="H34" s="122"/>
      <c r="I34" s="122"/>
      <c r="J34" s="122"/>
      <c r="K34" s="122"/>
    </row>
    <row r="35" spans="2:11" x14ac:dyDescent="0.3">
      <c r="B35" s="81" t="s">
        <v>232</v>
      </c>
      <c r="C35" s="81"/>
      <c r="D35" s="81"/>
      <c r="E35" s="81"/>
      <c r="F35" s="81"/>
      <c r="G35" s="123">
        <f>G18+G33</f>
        <v>81416</v>
      </c>
      <c r="H35" s="123">
        <f t="shared" ref="H35:K35" si="5">H18+H33</f>
        <v>91459</v>
      </c>
      <c r="I35" s="123">
        <f t="shared" si="5"/>
        <v>100264</v>
      </c>
      <c r="J35" s="123">
        <f t="shared" si="5"/>
        <v>103080</v>
      </c>
      <c r="K35" s="123">
        <f t="shared" si="5"/>
        <v>109850</v>
      </c>
    </row>
    <row r="36" spans="2:11" x14ac:dyDescent="0.3">
      <c r="B36" s="81" t="s">
        <v>233</v>
      </c>
      <c r="C36" s="81"/>
      <c r="D36" s="81"/>
      <c r="E36" s="81"/>
      <c r="F36" s="81"/>
      <c r="G36" s="123">
        <f>'Profit &amp; Loss'!G18+'Profit &amp; Loss'!G16</f>
        <v>30310</v>
      </c>
      <c r="H36" s="123">
        <f>'Profit &amp; Loss'!H18+'Profit &amp; Loss'!H16</f>
        <v>33606</v>
      </c>
      <c r="I36" s="123">
        <f>'Profit &amp; Loss'!I18+'Profit &amp; Loss'!I16</f>
        <v>36458</v>
      </c>
      <c r="J36" s="123">
        <f>'Profit &amp; Loss'!J18+'Profit &amp; Loss'!J16</f>
        <v>38024</v>
      </c>
      <c r="K36" s="123">
        <f>'Profit &amp; Loss'!K18+'Profit &amp; Loss'!K16</f>
        <v>40411</v>
      </c>
    </row>
    <row r="38" spans="2:11" ht="15" thickBot="1" x14ac:dyDescent="0.35">
      <c r="B38" s="125" t="s">
        <v>234</v>
      </c>
      <c r="C38" s="126"/>
      <c r="D38" s="126"/>
      <c r="E38" s="126"/>
      <c r="F38" s="126"/>
      <c r="G38" s="127">
        <f>G36/G35</f>
        <v>0.37228554583865581</v>
      </c>
      <c r="H38" s="127">
        <f t="shared" ref="H38:K38" si="6">H36/H35</f>
        <v>0.36744333526498213</v>
      </c>
      <c r="I38" s="127">
        <f t="shared" si="6"/>
        <v>0.36362004308625229</v>
      </c>
      <c r="J38" s="127">
        <f t="shared" si="6"/>
        <v>0.36887854093907646</v>
      </c>
      <c r="K38" s="127">
        <f t="shared" si="6"/>
        <v>0.36787437414656349</v>
      </c>
    </row>
    <row r="41" spans="2:11" x14ac:dyDescent="0.3">
      <c r="B41" s="116" t="s">
        <v>235</v>
      </c>
      <c r="C41" s="117"/>
      <c r="D41" s="117"/>
      <c r="E41" s="117"/>
      <c r="F41" s="117"/>
      <c r="G41" s="119"/>
      <c r="H41" s="119"/>
      <c r="I41" s="119"/>
      <c r="J41" s="119"/>
      <c r="K41" s="119"/>
    </row>
    <row r="43" spans="2:11" x14ac:dyDescent="0.3">
      <c r="B43" s="120" t="s">
        <v>236</v>
      </c>
      <c r="C43" s="120"/>
      <c r="D43" s="120"/>
      <c r="E43" s="120"/>
      <c r="F43" s="120"/>
      <c r="G43" s="121">
        <f>'RAW FS'!K49</f>
        <v>-2161</v>
      </c>
      <c r="H43" s="121">
        <f>'RAW FS'!L49</f>
        <v>-2579</v>
      </c>
      <c r="I43" s="121">
        <f>'RAW FS'!M49</f>
        <v>-2201</v>
      </c>
      <c r="J43" s="121">
        <f>'RAW FS'!N49</f>
        <v>-2237</v>
      </c>
      <c r="K43" s="121">
        <f>'RAW FS'!O49</f>
        <v>-2727</v>
      </c>
    </row>
    <row r="44" spans="2:11" x14ac:dyDescent="0.3">
      <c r="B44" s="120" t="s">
        <v>237</v>
      </c>
      <c r="C44" s="120"/>
      <c r="D44" s="120"/>
      <c r="E44" s="120"/>
      <c r="F44" s="120"/>
      <c r="G44" s="121"/>
      <c r="H44" s="121">
        <f>H43-G43</f>
        <v>-418</v>
      </c>
      <c r="I44" s="121">
        <f t="shared" ref="I44:K44" si="7">I43-H43</f>
        <v>378</v>
      </c>
      <c r="J44" s="121">
        <f t="shared" si="7"/>
        <v>-36</v>
      </c>
      <c r="K44" s="121">
        <f t="shared" si="7"/>
        <v>-490</v>
      </c>
    </row>
    <row r="45" spans="2:11" x14ac:dyDescent="0.3">
      <c r="B45" s="120"/>
      <c r="C45" s="120"/>
      <c r="D45" s="120"/>
      <c r="E45" s="120"/>
      <c r="F45" s="120"/>
      <c r="G45" s="121"/>
      <c r="H45" s="121"/>
      <c r="I45" s="121"/>
      <c r="J45" s="121"/>
      <c r="K45" s="121"/>
    </row>
    <row r="46" spans="2:11" x14ac:dyDescent="0.3">
      <c r="B46" s="120" t="s">
        <v>233</v>
      </c>
      <c r="C46" s="120"/>
      <c r="D46" s="120"/>
      <c r="E46" s="120"/>
      <c r="F46" s="120"/>
      <c r="G46" s="121">
        <f>G36</f>
        <v>30310</v>
      </c>
      <c r="H46" s="121">
        <f t="shared" ref="H46:K46" si="8">H36</f>
        <v>33606</v>
      </c>
      <c r="I46" s="121">
        <f t="shared" si="8"/>
        <v>36458</v>
      </c>
      <c r="J46" s="121">
        <f t="shared" si="8"/>
        <v>38024</v>
      </c>
      <c r="K46" s="121">
        <f t="shared" si="8"/>
        <v>40411</v>
      </c>
    </row>
    <row r="47" spans="2:11" x14ac:dyDescent="0.3">
      <c r="B47" s="120" t="s">
        <v>238</v>
      </c>
      <c r="C47" s="120"/>
      <c r="D47" s="120"/>
      <c r="E47" s="120"/>
      <c r="F47" s="120"/>
      <c r="G47" s="130">
        <v>0.25</v>
      </c>
      <c r="H47" s="130">
        <v>0.25</v>
      </c>
      <c r="I47" s="130">
        <v>0.25</v>
      </c>
      <c r="J47" s="130">
        <v>0.25</v>
      </c>
      <c r="K47" s="130">
        <v>0.25</v>
      </c>
    </row>
    <row r="48" spans="2:11" x14ac:dyDescent="0.3">
      <c r="B48" s="120" t="s">
        <v>239</v>
      </c>
      <c r="C48" s="120"/>
      <c r="D48" s="120"/>
      <c r="E48" s="120"/>
      <c r="F48" s="120"/>
      <c r="G48" s="131">
        <f>G46*(1-G47)</f>
        <v>22732.5</v>
      </c>
      <c r="H48" s="131">
        <f t="shared" ref="H48:K48" si="9">H46*(1-H47)</f>
        <v>25204.5</v>
      </c>
      <c r="I48" s="131">
        <f t="shared" si="9"/>
        <v>27343.5</v>
      </c>
      <c r="J48" s="131">
        <f t="shared" si="9"/>
        <v>28518</v>
      </c>
      <c r="K48" s="131">
        <f t="shared" si="9"/>
        <v>30308.25</v>
      </c>
    </row>
    <row r="49" spans="2:11" x14ac:dyDescent="0.3">
      <c r="B49" s="120"/>
      <c r="C49" s="120"/>
      <c r="D49" s="120"/>
      <c r="E49" s="120"/>
      <c r="F49" s="120"/>
      <c r="G49" s="121"/>
      <c r="H49" s="121"/>
      <c r="I49" s="121"/>
      <c r="J49" s="121"/>
      <c r="K49" s="121"/>
    </row>
    <row r="50" spans="2:11" x14ac:dyDescent="0.3">
      <c r="B50" s="120" t="s">
        <v>240</v>
      </c>
      <c r="C50" s="120"/>
      <c r="D50" s="120"/>
      <c r="E50" s="120"/>
      <c r="F50" s="120"/>
      <c r="G50" s="121"/>
      <c r="H50" s="121">
        <f>SUM(H43:H44)</f>
        <v>-2997</v>
      </c>
      <c r="I50" s="121">
        <f t="shared" ref="I50:K50" si="10">SUM(I43:I44)</f>
        <v>-1823</v>
      </c>
      <c r="J50" s="121">
        <f t="shared" si="10"/>
        <v>-2273</v>
      </c>
      <c r="K50" s="121">
        <f t="shared" si="10"/>
        <v>-3217</v>
      </c>
    </row>
    <row r="51" spans="2:11" x14ac:dyDescent="0.3">
      <c r="B51" s="80"/>
      <c r="C51" s="80"/>
      <c r="D51" s="80"/>
      <c r="E51" s="80"/>
      <c r="F51" s="80"/>
      <c r="G51" s="80"/>
      <c r="H51" s="118"/>
      <c r="I51" s="118"/>
      <c r="J51" s="118"/>
      <c r="K51" s="118"/>
    </row>
    <row r="52" spans="2:11" ht="15" thickBot="1" x14ac:dyDescent="0.35">
      <c r="B52" s="125" t="s">
        <v>241</v>
      </c>
      <c r="C52" s="125"/>
      <c r="D52" s="125"/>
      <c r="E52" s="125"/>
      <c r="F52" s="125"/>
      <c r="G52" s="125"/>
      <c r="H52" s="127">
        <f>H50/H48</f>
        <v>-0.11890733797536154</v>
      </c>
      <c r="I52" s="127">
        <f t="shared" ref="I52:K52" si="11">I50/I48</f>
        <v>-6.6670323842960844E-2</v>
      </c>
      <c r="J52" s="127">
        <f t="shared" si="11"/>
        <v>-7.9704046567080439E-2</v>
      </c>
      <c r="K52" s="127">
        <f t="shared" si="11"/>
        <v>-0.10614271691701105</v>
      </c>
    </row>
    <row r="53" spans="2:11" x14ac:dyDescent="0.3">
      <c r="B53" s="80"/>
      <c r="C53" s="80"/>
      <c r="D53" s="80"/>
      <c r="E53" s="80"/>
      <c r="F53" s="80"/>
      <c r="G53" s="80"/>
      <c r="H53" s="92"/>
      <c r="I53" s="92"/>
      <c r="J53" s="92"/>
      <c r="K53" s="92"/>
    </row>
    <row r="54" spans="2:11" x14ac:dyDescent="0.3">
      <c r="B54" s="80"/>
      <c r="C54" s="80"/>
      <c r="D54" s="80"/>
      <c r="E54" s="80"/>
      <c r="F54" s="80"/>
      <c r="G54" s="80"/>
      <c r="H54" s="80"/>
      <c r="I54" s="80"/>
      <c r="J54" s="113" t="s">
        <v>242</v>
      </c>
      <c r="K54" s="114">
        <f>AVERAGE(H52:K52)</f>
        <v>-9.2856106325603469E-2</v>
      </c>
    </row>
    <row r="55" spans="2:11" x14ac:dyDescent="0.3">
      <c r="B55" s="80"/>
      <c r="C55" s="80"/>
      <c r="D55" s="80"/>
      <c r="E55" s="80"/>
      <c r="F55" s="80"/>
      <c r="G55" s="80"/>
      <c r="H55" s="80"/>
      <c r="I55" s="80"/>
      <c r="J55" s="113" t="s">
        <v>243</v>
      </c>
      <c r="K55" s="114">
        <f>MEDIAN(H52:K52)</f>
        <v>-9.2923381742045744E-2</v>
      </c>
    </row>
    <row r="57" spans="2:11" x14ac:dyDescent="0.3">
      <c r="B57" s="116" t="s">
        <v>244</v>
      </c>
      <c r="C57" s="117"/>
      <c r="D57" s="117"/>
      <c r="E57" s="117"/>
      <c r="F57" s="117"/>
      <c r="G57" s="119">
        <f>G3</f>
        <v>44651</v>
      </c>
      <c r="H57" s="119">
        <f t="shared" ref="H57:K57" si="12">H3</f>
        <v>45016</v>
      </c>
      <c r="I57" s="119">
        <f t="shared" si="12"/>
        <v>45382</v>
      </c>
      <c r="J57" s="119">
        <f t="shared" si="12"/>
        <v>45747</v>
      </c>
      <c r="K57" s="119">
        <f t="shared" si="12"/>
        <v>46112</v>
      </c>
    </row>
    <row r="59" spans="2:11" x14ac:dyDescent="0.3">
      <c r="B59" s="120" t="s">
        <v>241</v>
      </c>
      <c r="C59" s="120"/>
      <c r="D59" s="120"/>
      <c r="E59" s="120"/>
      <c r="F59" s="120"/>
      <c r="G59" s="120"/>
      <c r="H59" s="132">
        <f>H52</f>
        <v>-0.11890733797536154</v>
      </c>
      <c r="I59" s="132">
        <f t="shared" ref="I59:K59" si="13">I52</f>
        <v>-6.6670323842960844E-2</v>
      </c>
      <c r="J59" s="132">
        <f t="shared" si="13"/>
        <v>-7.9704046567080439E-2</v>
      </c>
      <c r="K59" s="132">
        <f t="shared" si="13"/>
        <v>-0.10614271691701105</v>
      </c>
    </row>
    <row r="60" spans="2:11" x14ac:dyDescent="0.3">
      <c r="B60" s="120" t="s">
        <v>234</v>
      </c>
      <c r="C60" s="120"/>
      <c r="D60" s="120"/>
      <c r="E60" s="120"/>
      <c r="F60" s="120"/>
      <c r="G60" s="120"/>
      <c r="H60" s="132">
        <f>H38</f>
        <v>0.36744333526498213</v>
      </c>
      <c r="I60" s="132">
        <f t="shared" ref="I60:K60" si="14">I38</f>
        <v>0.36362004308625229</v>
      </c>
      <c r="J60" s="132">
        <f t="shared" si="14"/>
        <v>0.36887854093907646</v>
      </c>
      <c r="K60" s="132">
        <f t="shared" si="14"/>
        <v>0.36787437414656349</v>
      </c>
    </row>
    <row r="61" spans="2:11" x14ac:dyDescent="0.3">
      <c r="B61" s="80"/>
      <c r="C61" s="80"/>
      <c r="D61" s="80"/>
      <c r="E61" s="80"/>
      <c r="F61" s="80"/>
      <c r="G61" s="80"/>
      <c r="H61" s="80"/>
      <c r="I61" s="80"/>
      <c r="J61" s="80"/>
      <c r="K61" s="80"/>
    </row>
    <row r="62" spans="2:11" ht="15" thickBot="1" x14ac:dyDescent="0.35">
      <c r="B62" s="125" t="s">
        <v>245</v>
      </c>
      <c r="C62" s="125"/>
      <c r="D62" s="125"/>
      <c r="E62" s="125"/>
      <c r="F62" s="125"/>
      <c r="G62" s="125"/>
      <c r="H62" s="133">
        <f>H59*H60</f>
        <v>-4.3691708853147312E-2</v>
      </c>
      <c r="I62" s="133">
        <f t="shared" ref="I62:K62" si="15">I59*I60</f>
        <v>-2.4242666028351813E-2</v>
      </c>
      <c r="J62" s="133">
        <f t="shared" si="15"/>
        <v>-2.9401112404604839E-2</v>
      </c>
      <c r="K62" s="133">
        <f t="shared" si="15"/>
        <v>-3.9047185556061299E-2</v>
      </c>
    </row>
    <row r="64" spans="2:11" x14ac:dyDescent="0.3">
      <c r="J64" s="113" t="s">
        <v>242</v>
      </c>
      <c r="K64" s="114">
        <f>AVERAGE(H62:K62)</f>
        <v>-3.4095668210541316E-2</v>
      </c>
    </row>
    <row r="65" spans="10:11" x14ac:dyDescent="0.3">
      <c r="J65" s="113" t="s">
        <v>243</v>
      </c>
      <c r="K65" s="114">
        <f>MEDIAN(H62:K62)</f>
        <v>-3.4224148980333068E-2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485A-842D-4887-8A77-67F81A294B79}">
  <sheetPr>
    <tabColor rgb="FF92D050"/>
  </sheetPr>
  <dimension ref="B4:O65"/>
  <sheetViews>
    <sheetView showGridLines="0" topLeftCell="A37" workbookViewId="0">
      <selection activeCell="K49" sqref="K49"/>
    </sheetView>
  </sheetViews>
  <sheetFormatPr defaultRowHeight="14.4" x14ac:dyDescent="0.3"/>
  <cols>
    <col min="1" max="1" width="2.109375" customWidth="1"/>
    <col min="3" max="3" width="24.109375" customWidth="1"/>
  </cols>
  <sheetData>
    <row r="4" spans="2:9" x14ac:dyDescent="0.3">
      <c r="B4" t="s">
        <v>277</v>
      </c>
    </row>
    <row r="5" spans="2:9" ht="15" thickBot="1" x14ac:dyDescent="0.35">
      <c r="B5" s="158"/>
      <c r="C5" s="159"/>
      <c r="D5" s="159"/>
      <c r="E5" s="159">
        <v>44621</v>
      </c>
      <c r="F5" s="159">
        <v>44986</v>
      </c>
      <c r="G5" s="159">
        <v>45352</v>
      </c>
      <c r="H5" s="159">
        <v>45717</v>
      </c>
      <c r="I5" s="159">
        <v>46082</v>
      </c>
    </row>
    <row r="6" spans="2:9" x14ac:dyDescent="0.3">
      <c r="B6" s="160" t="s">
        <v>278</v>
      </c>
      <c r="C6" s="161"/>
      <c r="D6" s="162"/>
      <c r="E6" s="162">
        <v>2098</v>
      </c>
      <c r="F6" s="162">
        <v>2069</v>
      </c>
      <c r="G6" s="162">
        <v>2071</v>
      </c>
      <c r="H6" s="162">
        <v>2073</v>
      </c>
      <c r="I6" s="162">
        <v>2024</v>
      </c>
    </row>
    <row r="7" spans="2:9" ht="15" thickBot="1" x14ac:dyDescent="0.35">
      <c r="B7" s="163" t="s">
        <v>16</v>
      </c>
      <c r="C7" s="164"/>
      <c r="D7" s="164"/>
      <c r="E7" s="164">
        <v>73252</v>
      </c>
      <c r="F7" s="164">
        <v>73338</v>
      </c>
      <c r="G7" s="164">
        <v>86045</v>
      </c>
      <c r="H7" s="164">
        <v>93745</v>
      </c>
      <c r="I7" s="164">
        <v>90828</v>
      </c>
    </row>
    <row r="8" spans="2:9" x14ac:dyDescent="0.3">
      <c r="B8" s="165" t="s">
        <v>279</v>
      </c>
      <c r="C8" s="166"/>
      <c r="D8" s="166"/>
      <c r="E8" s="167">
        <v>5474</v>
      </c>
      <c r="F8" s="167">
        <v>8299</v>
      </c>
      <c r="G8" s="167">
        <v>8359</v>
      </c>
      <c r="H8" s="167">
        <v>8227</v>
      </c>
      <c r="I8" s="167">
        <v>9176</v>
      </c>
    </row>
    <row r="9" spans="2:9" ht="15" thickBot="1" x14ac:dyDescent="0.35">
      <c r="B9" s="168" t="s">
        <v>280</v>
      </c>
      <c r="C9" s="161"/>
      <c r="D9" s="161"/>
      <c r="E9" s="162">
        <v>5474</v>
      </c>
      <c r="F9" s="162">
        <v>8299</v>
      </c>
      <c r="G9" s="162">
        <v>8359</v>
      </c>
      <c r="H9" s="162">
        <v>8227</v>
      </c>
      <c r="I9" s="162">
        <v>9176</v>
      </c>
    </row>
    <row r="10" spans="2:9" x14ac:dyDescent="0.3">
      <c r="B10" s="169" t="s">
        <v>281</v>
      </c>
      <c r="C10" s="170"/>
      <c r="D10" s="170"/>
      <c r="E10" s="170">
        <v>35905</v>
      </c>
      <c r="F10" s="170">
        <v>40890</v>
      </c>
      <c r="G10" s="170">
        <v>39545</v>
      </c>
      <c r="H10" s="170">
        <v>43750</v>
      </c>
      <c r="I10" s="170">
        <v>52260</v>
      </c>
    </row>
    <row r="11" spans="2:9" x14ac:dyDescent="0.3">
      <c r="B11" s="171" t="s">
        <v>282</v>
      </c>
      <c r="C11" s="172"/>
      <c r="D11" s="172"/>
      <c r="E11" s="172">
        <v>386</v>
      </c>
      <c r="F11" s="172">
        <v>388</v>
      </c>
      <c r="G11" s="172">
        <v>345</v>
      </c>
      <c r="H11" s="172">
        <v>385</v>
      </c>
      <c r="I11" s="172">
        <v>445</v>
      </c>
    </row>
    <row r="12" spans="2:9" x14ac:dyDescent="0.3">
      <c r="B12" s="171" t="s">
        <v>216</v>
      </c>
      <c r="C12" s="172"/>
      <c r="D12" s="172"/>
      <c r="E12" s="164">
        <v>4134</v>
      </c>
      <c r="F12" s="164">
        <v>3865</v>
      </c>
      <c r="G12" s="164">
        <v>3956</v>
      </c>
      <c r="H12" s="164">
        <v>4164</v>
      </c>
      <c r="I12" s="164">
        <v>4744</v>
      </c>
    </row>
    <row r="13" spans="2:9" x14ac:dyDescent="0.3">
      <c r="B13" s="171" t="s">
        <v>283</v>
      </c>
      <c r="C13" s="172"/>
      <c r="D13" s="172"/>
      <c r="E13" s="172">
        <v>0</v>
      </c>
      <c r="F13" s="172">
        <v>0</v>
      </c>
      <c r="G13" s="172">
        <v>0</v>
      </c>
      <c r="H13" s="172">
        <v>0</v>
      </c>
      <c r="I13" s="172">
        <v>0</v>
      </c>
    </row>
    <row r="14" spans="2:9" ht="15" thickBot="1" x14ac:dyDescent="0.35">
      <c r="B14" s="171" t="s">
        <v>217</v>
      </c>
      <c r="C14" s="164"/>
      <c r="D14" s="164"/>
      <c r="E14" s="164">
        <v>31385</v>
      </c>
      <c r="F14" s="164">
        <v>36637</v>
      </c>
      <c r="G14" s="164">
        <v>35244</v>
      </c>
      <c r="H14" s="164">
        <v>39201</v>
      </c>
      <c r="I14" s="164">
        <v>47071</v>
      </c>
    </row>
    <row r="15" spans="2:9" ht="15" thickBot="1" x14ac:dyDescent="0.35">
      <c r="B15" s="165" t="s">
        <v>284</v>
      </c>
      <c r="C15" s="167"/>
      <c r="D15" s="167"/>
      <c r="E15" s="167">
        <v>116729</v>
      </c>
      <c r="F15" s="167">
        <v>124596</v>
      </c>
      <c r="G15" s="167">
        <v>136020</v>
      </c>
      <c r="H15" s="167">
        <v>147795</v>
      </c>
      <c r="I15" s="167">
        <v>154288</v>
      </c>
    </row>
    <row r="16" spans="2:9" x14ac:dyDescent="0.3">
      <c r="B16" s="169" t="s">
        <v>285</v>
      </c>
      <c r="C16" s="170"/>
      <c r="D16" s="170"/>
      <c r="E16" s="170">
        <v>25800</v>
      </c>
      <c r="F16" s="170">
        <v>29225</v>
      </c>
      <c r="G16" s="170">
        <v>27622</v>
      </c>
      <c r="H16" s="170">
        <v>30961</v>
      </c>
      <c r="I16" s="170">
        <v>33770</v>
      </c>
    </row>
    <row r="17" spans="2:9" x14ac:dyDescent="0.3">
      <c r="B17" s="171" t="s">
        <v>221</v>
      </c>
      <c r="C17" s="164"/>
      <c r="D17" s="164"/>
      <c r="E17" s="164">
        <v>2066</v>
      </c>
      <c r="F17" s="164">
        <v>2054</v>
      </c>
      <c r="G17" s="164">
        <v>2037</v>
      </c>
      <c r="H17" s="164">
        <v>2079</v>
      </c>
      <c r="I17" s="164">
        <v>1990</v>
      </c>
    </row>
    <row r="18" spans="2:9" x14ac:dyDescent="0.3">
      <c r="B18" s="171" t="s">
        <v>222</v>
      </c>
      <c r="C18" s="164"/>
      <c r="D18" s="164"/>
      <c r="E18" s="164">
        <v>16760</v>
      </c>
      <c r="F18" s="164">
        <v>16903</v>
      </c>
      <c r="G18" s="164">
        <v>16515</v>
      </c>
      <c r="H18" s="164">
        <v>16376</v>
      </c>
      <c r="I18" s="164">
        <v>17193</v>
      </c>
    </row>
    <row r="19" spans="2:9" x14ac:dyDescent="0.3">
      <c r="B19" s="171" t="s">
        <v>223</v>
      </c>
      <c r="C19" s="164"/>
      <c r="D19" s="164"/>
      <c r="E19" s="164">
        <v>3210</v>
      </c>
      <c r="F19" s="164">
        <v>3302</v>
      </c>
      <c r="G19" s="164">
        <v>3428</v>
      </c>
      <c r="H19" s="164">
        <v>3461</v>
      </c>
      <c r="I19" s="164">
        <v>3714</v>
      </c>
    </row>
    <row r="20" spans="2:9" x14ac:dyDescent="0.3">
      <c r="B20" s="171" t="s">
        <v>224</v>
      </c>
      <c r="C20" s="172"/>
      <c r="D20" s="172"/>
      <c r="E20" s="164">
        <v>1427</v>
      </c>
      <c r="F20" s="164">
        <v>1482</v>
      </c>
      <c r="G20" s="164">
        <v>1528</v>
      </c>
      <c r="H20" s="164">
        <v>1628</v>
      </c>
      <c r="I20" s="164">
        <v>1732</v>
      </c>
    </row>
    <row r="21" spans="2:9" x14ac:dyDescent="0.3">
      <c r="B21" s="171" t="s">
        <v>286</v>
      </c>
      <c r="C21" s="164"/>
      <c r="D21" s="164"/>
      <c r="E21" s="164">
        <v>9936</v>
      </c>
      <c r="F21" s="164">
        <v>11898</v>
      </c>
      <c r="G21" s="164">
        <v>12353</v>
      </c>
      <c r="H21" s="164">
        <v>12925</v>
      </c>
      <c r="I21" s="164">
        <v>13600</v>
      </c>
    </row>
    <row r="22" spans="2:9" x14ac:dyDescent="0.3">
      <c r="B22" s="171" t="s">
        <v>225</v>
      </c>
      <c r="C22" s="172"/>
      <c r="D22" s="164"/>
      <c r="E22" s="164">
        <v>2278</v>
      </c>
      <c r="F22" s="164">
        <v>2303</v>
      </c>
      <c r="G22" s="164">
        <v>2326</v>
      </c>
      <c r="H22" s="164">
        <v>2340</v>
      </c>
      <c r="I22" s="164">
        <v>2438</v>
      </c>
    </row>
    <row r="23" spans="2:9" x14ac:dyDescent="0.3">
      <c r="B23" s="171" t="s">
        <v>226</v>
      </c>
      <c r="C23" s="172"/>
      <c r="D23" s="172"/>
      <c r="E23" s="172">
        <v>71</v>
      </c>
      <c r="F23" s="172">
        <v>60</v>
      </c>
      <c r="G23" s="172">
        <v>62</v>
      </c>
      <c r="H23" s="172">
        <v>72</v>
      </c>
      <c r="I23" s="172">
        <v>70</v>
      </c>
    </row>
    <row r="24" spans="2:9" x14ac:dyDescent="0.3">
      <c r="B24" s="171" t="s">
        <v>227</v>
      </c>
      <c r="C24" s="164"/>
      <c r="D24" s="164"/>
      <c r="E24" s="164">
        <v>6495</v>
      </c>
      <c r="F24" s="164">
        <v>7594</v>
      </c>
      <c r="G24" s="164">
        <v>7652</v>
      </c>
      <c r="H24" s="164">
        <v>10626</v>
      </c>
      <c r="I24" s="164">
        <v>12729</v>
      </c>
    </row>
    <row r="25" spans="2:9" ht="15" thickBot="1" x14ac:dyDescent="0.35">
      <c r="B25" s="171" t="s">
        <v>228</v>
      </c>
      <c r="C25" s="172"/>
      <c r="D25" s="172"/>
      <c r="E25" s="164">
        <v>2766</v>
      </c>
      <c r="F25" s="164">
        <v>3281</v>
      </c>
      <c r="G25" s="164">
        <v>3294</v>
      </c>
      <c r="H25" s="164">
        <v>5184</v>
      </c>
      <c r="I25" s="164">
        <v>6296</v>
      </c>
    </row>
    <row r="26" spans="2:9" x14ac:dyDescent="0.3">
      <c r="B26" s="173" t="s">
        <v>229</v>
      </c>
      <c r="C26" s="170"/>
      <c r="D26" s="170"/>
      <c r="E26" s="170">
        <v>45009</v>
      </c>
      <c r="F26" s="170">
        <v>48877</v>
      </c>
      <c r="G26" s="170">
        <v>49195</v>
      </c>
      <c r="H26" s="170">
        <v>54691</v>
      </c>
      <c r="I26" s="170">
        <v>59762</v>
      </c>
    </row>
    <row r="27" spans="2:9" x14ac:dyDescent="0.3">
      <c r="B27" s="171" t="s">
        <v>230</v>
      </c>
      <c r="C27" s="164"/>
      <c r="D27" s="164"/>
      <c r="E27" s="164">
        <v>19209</v>
      </c>
      <c r="F27" s="164">
        <v>19652</v>
      </c>
      <c r="G27" s="164">
        <v>21573</v>
      </c>
      <c r="H27" s="164">
        <v>23730</v>
      </c>
      <c r="I27" s="164">
        <v>25992</v>
      </c>
    </row>
    <row r="28" spans="2:9" x14ac:dyDescent="0.3">
      <c r="B28" s="160" t="s">
        <v>287</v>
      </c>
      <c r="C28" s="161"/>
      <c r="D28" s="161"/>
      <c r="E28" s="161">
        <v>416</v>
      </c>
      <c r="F28" s="161">
        <v>288</v>
      </c>
      <c r="G28" s="161">
        <v>293</v>
      </c>
      <c r="H28" s="161">
        <v>814</v>
      </c>
      <c r="I28" s="161">
        <v>526</v>
      </c>
    </row>
    <row r="29" spans="2:9" ht="15" thickBot="1" x14ac:dyDescent="0.35">
      <c r="B29" s="163" t="s">
        <v>20</v>
      </c>
      <c r="C29" s="164"/>
      <c r="D29" s="164"/>
      <c r="E29" s="164">
        <v>20324</v>
      </c>
      <c r="F29" s="164">
        <v>19478</v>
      </c>
      <c r="G29" s="164">
        <v>24623</v>
      </c>
      <c r="H29" s="164">
        <v>23541</v>
      </c>
      <c r="I29" s="164">
        <v>21880</v>
      </c>
    </row>
    <row r="30" spans="2:9" x14ac:dyDescent="0.3">
      <c r="B30" s="165" t="s">
        <v>288</v>
      </c>
      <c r="C30" s="167"/>
      <c r="D30" s="167"/>
      <c r="E30" s="167">
        <v>70189</v>
      </c>
      <c r="F30" s="167">
        <v>75605</v>
      </c>
      <c r="G30" s="167">
        <v>83482</v>
      </c>
      <c r="H30" s="167">
        <v>92479</v>
      </c>
      <c r="I30" s="167">
        <v>98112</v>
      </c>
    </row>
    <row r="31" spans="2:9" x14ac:dyDescent="0.3">
      <c r="B31" s="168" t="s">
        <v>211</v>
      </c>
      <c r="C31" s="162"/>
      <c r="D31" s="162"/>
      <c r="E31" s="162">
        <v>22698</v>
      </c>
      <c r="F31" s="162">
        <v>25424</v>
      </c>
      <c r="G31" s="162">
        <v>30193</v>
      </c>
      <c r="H31" s="162">
        <v>31158</v>
      </c>
      <c r="I31" s="162">
        <v>35234</v>
      </c>
    </row>
    <row r="32" spans="2:9" x14ac:dyDescent="0.3">
      <c r="B32" s="168" t="s">
        <v>289</v>
      </c>
      <c r="C32" s="162"/>
      <c r="D32" s="162"/>
      <c r="E32" s="162">
        <v>17472</v>
      </c>
      <c r="F32" s="162">
        <v>12173</v>
      </c>
      <c r="G32" s="162">
        <v>14786</v>
      </c>
      <c r="H32" s="162">
        <v>24455</v>
      </c>
      <c r="I32" s="162">
        <v>22201</v>
      </c>
    </row>
    <row r="33" spans="2:15" x14ac:dyDescent="0.3">
      <c r="B33" s="168" t="s">
        <v>212</v>
      </c>
      <c r="C33" s="161"/>
      <c r="D33" s="161"/>
      <c r="E33" s="162">
        <v>2491</v>
      </c>
      <c r="F33" s="162">
        <v>3242</v>
      </c>
      <c r="G33" s="162">
        <v>10330</v>
      </c>
      <c r="H33" s="162">
        <v>6717</v>
      </c>
      <c r="I33" s="162">
        <v>6808</v>
      </c>
    </row>
    <row r="34" spans="2:15" ht="15" thickBot="1" x14ac:dyDescent="0.35">
      <c r="B34" s="168" t="s">
        <v>213</v>
      </c>
      <c r="C34" s="162"/>
      <c r="D34" s="162"/>
      <c r="E34" s="162">
        <v>27528</v>
      </c>
      <c r="F34" s="162">
        <v>34766</v>
      </c>
      <c r="G34" s="162">
        <v>28173</v>
      </c>
      <c r="H34" s="162">
        <v>30149</v>
      </c>
      <c r="I34" s="162">
        <v>33869</v>
      </c>
    </row>
    <row r="35" spans="2:15" x14ac:dyDescent="0.3">
      <c r="B35" s="169" t="s">
        <v>290</v>
      </c>
      <c r="C35" s="170"/>
      <c r="D35" s="170"/>
      <c r="E35" s="170">
        <v>116729</v>
      </c>
      <c r="F35" s="170">
        <v>124596</v>
      </c>
      <c r="G35" s="170">
        <v>136020</v>
      </c>
      <c r="H35" s="170">
        <v>147795</v>
      </c>
      <c r="I35" s="170">
        <v>154288</v>
      </c>
    </row>
    <row r="39" spans="2:15" ht="15" thickBot="1" x14ac:dyDescent="0.35">
      <c r="C39" s="158"/>
      <c r="D39" s="159">
        <v>42064</v>
      </c>
      <c r="E39" s="159">
        <v>42430</v>
      </c>
      <c r="F39" s="159">
        <v>42795</v>
      </c>
      <c r="G39" s="159">
        <v>43160</v>
      </c>
      <c r="H39" s="159">
        <v>43525</v>
      </c>
      <c r="I39" s="159">
        <v>43891</v>
      </c>
      <c r="J39" s="159">
        <v>44256</v>
      </c>
      <c r="K39" s="159">
        <v>44621</v>
      </c>
      <c r="L39" s="159">
        <v>44986</v>
      </c>
      <c r="M39" s="159">
        <v>45352</v>
      </c>
      <c r="N39" s="159">
        <v>45717</v>
      </c>
      <c r="O39" s="159">
        <v>46082</v>
      </c>
    </row>
    <row r="40" spans="2:15" ht="15" thickBot="1" x14ac:dyDescent="0.35">
      <c r="C40" s="165" t="s">
        <v>291</v>
      </c>
      <c r="D40" s="167">
        <v>8353</v>
      </c>
      <c r="E40" s="167">
        <v>10028</v>
      </c>
      <c r="F40" s="167">
        <v>11531</v>
      </c>
      <c r="G40" s="167">
        <v>13218</v>
      </c>
      <c r="H40" s="167">
        <v>14841</v>
      </c>
      <c r="I40" s="167">
        <v>17003</v>
      </c>
      <c r="J40" s="167">
        <v>23224</v>
      </c>
      <c r="K40" s="167">
        <v>23885</v>
      </c>
      <c r="L40" s="167">
        <v>22467</v>
      </c>
      <c r="M40" s="167">
        <v>25210</v>
      </c>
      <c r="N40" s="167">
        <v>35694</v>
      </c>
      <c r="O40" s="167">
        <v>33986</v>
      </c>
    </row>
    <row r="41" spans="2:15" x14ac:dyDescent="0.3">
      <c r="C41" s="174" t="s">
        <v>292</v>
      </c>
      <c r="D41" s="167">
        <v>15946</v>
      </c>
      <c r="E41" s="167">
        <v>17839</v>
      </c>
      <c r="F41" s="167">
        <v>19340</v>
      </c>
      <c r="G41" s="167">
        <v>19963</v>
      </c>
      <c r="H41" s="167">
        <v>22126</v>
      </c>
      <c r="I41" s="167">
        <v>23920</v>
      </c>
      <c r="J41" s="167">
        <v>28845</v>
      </c>
      <c r="K41" s="167">
        <v>32921</v>
      </c>
      <c r="L41" s="167">
        <v>37605</v>
      </c>
      <c r="M41" s="167">
        <v>39523</v>
      </c>
      <c r="N41" s="167">
        <v>41591</v>
      </c>
      <c r="O41" s="167">
        <v>45273</v>
      </c>
    </row>
    <row r="42" spans="2:15" x14ac:dyDescent="0.3">
      <c r="C42" s="168" t="s">
        <v>49</v>
      </c>
      <c r="D42" s="162">
        <v>-1475</v>
      </c>
      <c r="E42" s="162">
        <v>-1654</v>
      </c>
      <c r="F42" s="162">
        <v>-1743</v>
      </c>
      <c r="G42" s="162">
        <v>-1523</v>
      </c>
      <c r="H42" s="162">
        <v>-2881</v>
      </c>
      <c r="I42" s="162">
        <v>-3861</v>
      </c>
      <c r="J42" s="162">
        <v>-1835</v>
      </c>
      <c r="K42" s="162">
        <v>-7937</v>
      </c>
      <c r="L42" s="162">
        <v>-7076</v>
      </c>
      <c r="M42" s="162">
        <v>-2667</v>
      </c>
      <c r="N42" s="162">
        <v>-1769</v>
      </c>
      <c r="O42" s="162">
        <v>-5177</v>
      </c>
    </row>
    <row r="43" spans="2:15" x14ac:dyDescent="0.3">
      <c r="C43" s="168" t="s">
        <v>293</v>
      </c>
      <c r="D43" s="161">
        <v>0</v>
      </c>
      <c r="E43" s="161">
        <v>242</v>
      </c>
      <c r="F43" s="161">
        <v>-19</v>
      </c>
      <c r="G43" s="161">
        <v>328</v>
      </c>
      <c r="H43" s="161">
        <v>916</v>
      </c>
      <c r="I43" s="161">
        <v>-373</v>
      </c>
      <c r="J43" s="161">
        <v>-245</v>
      </c>
      <c r="K43" s="162">
        <v>1489</v>
      </c>
      <c r="L43" s="161">
        <v>-279</v>
      </c>
      <c r="M43" s="161">
        <v>91</v>
      </c>
      <c r="N43" s="161">
        <v>176</v>
      </c>
      <c r="O43" s="161">
        <v>-26</v>
      </c>
    </row>
    <row r="44" spans="2:15" x14ac:dyDescent="0.3">
      <c r="C44" s="168" t="s">
        <v>294</v>
      </c>
      <c r="D44" s="161">
        <v>-221</v>
      </c>
      <c r="E44" s="162">
        <v>-1134</v>
      </c>
      <c r="F44" s="161">
        <v>0</v>
      </c>
      <c r="G44" s="161">
        <v>0</v>
      </c>
      <c r="H44" s="161">
        <v>0</v>
      </c>
      <c r="I44" s="161">
        <v>0</v>
      </c>
      <c r="J44" s="161">
        <v>-534</v>
      </c>
      <c r="K44" s="162">
        <v>-1914</v>
      </c>
      <c r="L44" s="162">
        <v>-3108</v>
      </c>
      <c r="M44" s="162">
        <v>-1172</v>
      </c>
      <c r="N44" s="162">
        <v>-1024</v>
      </c>
      <c r="O44" s="162">
        <v>-2645</v>
      </c>
    </row>
    <row r="45" spans="2:15" ht="15" thickBot="1" x14ac:dyDescent="0.35">
      <c r="C45" s="168" t="s">
        <v>295</v>
      </c>
      <c r="D45" s="161">
        <v>854</v>
      </c>
      <c r="E45" s="161">
        <v>600</v>
      </c>
      <c r="F45" s="161">
        <v>-394</v>
      </c>
      <c r="G45" s="162">
        <v>1279</v>
      </c>
      <c r="H45" s="162">
        <v>1512</v>
      </c>
      <c r="I45" s="162">
        <v>1867</v>
      </c>
      <c r="J45" s="162">
        <v>3382</v>
      </c>
      <c r="K45" s="162">
        <v>6938</v>
      </c>
      <c r="L45" s="162">
        <v>4119</v>
      </c>
      <c r="M45" s="162">
        <v>-1334</v>
      </c>
      <c r="N45" s="162">
        <v>2322</v>
      </c>
      <c r="O45" s="162">
        <v>5209</v>
      </c>
    </row>
    <row r="46" spans="2:15" x14ac:dyDescent="0.3">
      <c r="C46" s="174" t="s">
        <v>296</v>
      </c>
      <c r="D46" s="166">
        <v>-842</v>
      </c>
      <c r="E46" s="167">
        <v>-1946</v>
      </c>
      <c r="F46" s="167">
        <v>-2156</v>
      </c>
      <c r="G46" s="166">
        <v>84</v>
      </c>
      <c r="H46" s="166">
        <v>-453</v>
      </c>
      <c r="I46" s="167">
        <v>-2367</v>
      </c>
      <c r="J46" s="166">
        <v>768</v>
      </c>
      <c r="K46" s="167">
        <v>-1424</v>
      </c>
      <c r="L46" s="167">
        <v>-6344</v>
      </c>
      <c r="M46" s="167">
        <v>-5082</v>
      </c>
      <c r="N46" s="166">
        <v>-295</v>
      </c>
      <c r="O46" s="167">
        <v>-2639</v>
      </c>
    </row>
    <row r="47" spans="2:15" ht="15" thickBot="1" x14ac:dyDescent="0.35">
      <c r="C47" s="168" t="s">
        <v>297</v>
      </c>
      <c r="D47" s="162">
        <v>-6751</v>
      </c>
      <c r="E47" s="162">
        <v>-5865</v>
      </c>
      <c r="F47" s="162">
        <v>-5653</v>
      </c>
      <c r="G47" s="162">
        <v>-6829</v>
      </c>
      <c r="H47" s="162">
        <v>-6832</v>
      </c>
      <c r="I47" s="162">
        <v>-4550</v>
      </c>
      <c r="J47" s="162">
        <v>-6389</v>
      </c>
      <c r="K47" s="162">
        <v>-7612</v>
      </c>
      <c r="L47" s="162">
        <v>-8794</v>
      </c>
      <c r="M47" s="162">
        <v>-9231</v>
      </c>
      <c r="N47" s="162">
        <v>-5602</v>
      </c>
      <c r="O47" s="162">
        <v>-8648</v>
      </c>
    </row>
    <row r="48" spans="2:15" x14ac:dyDescent="0.3">
      <c r="C48" s="169" t="s">
        <v>298</v>
      </c>
      <c r="D48" s="175">
        <v>999</v>
      </c>
      <c r="E48" s="175">
        <v>-885</v>
      </c>
      <c r="F48" s="170">
        <v>-14664</v>
      </c>
      <c r="G48" s="170">
        <v>4533</v>
      </c>
      <c r="H48" s="175">
        <v>-632</v>
      </c>
      <c r="I48" s="175">
        <v>-331</v>
      </c>
      <c r="J48" s="170">
        <v>-7373</v>
      </c>
      <c r="K48" s="170">
        <v>-6485</v>
      </c>
      <c r="L48" s="170">
        <v>-1071</v>
      </c>
      <c r="M48" s="170">
        <v>-5093</v>
      </c>
      <c r="N48" s="170">
        <v>-1864</v>
      </c>
      <c r="O48" s="170">
        <v>3546</v>
      </c>
    </row>
    <row r="49" spans="3:15" x14ac:dyDescent="0.3">
      <c r="C49" s="171" t="s">
        <v>299</v>
      </c>
      <c r="D49" s="164">
        <v>-2247</v>
      </c>
      <c r="E49" s="164">
        <v>-2723</v>
      </c>
      <c r="F49" s="164">
        <v>-2760</v>
      </c>
      <c r="G49" s="164">
        <v>-1998</v>
      </c>
      <c r="H49" s="164">
        <v>-2445</v>
      </c>
      <c r="I49" s="164">
        <v>-3307</v>
      </c>
      <c r="J49" s="164">
        <v>-2107</v>
      </c>
      <c r="K49" s="164">
        <v>-2161</v>
      </c>
      <c r="L49" s="164">
        <v>-2579</v>
      </c>
      <c r="M49" s="164">
        <v>-2201</v>
      </c>
      <c r="N49" s="164">
        <v>-2237</v>
      </c>
      <c r="O49" s="164">
        <v>-2727</v>
      </c>
    </row>
    <row r="50" spans="3:15" x14ac:dyDescent="0.3">
      <c r="C50" s="171" t="s">
        <v>300</v>
      </c>
      <c r="D50" s="164">
        <v>-23923</v>
      </c>
      <c r="E50" s="164">
        <v>-24577</v>
      </c>
      <c r="F50" s="164">
        <v>-66410</v>
      </c>
      <c r="G50" s="164">
        <v>-69159</v>
      </c>
      <c r="H50" s="164">
        <v>-79410</v>
      </c>
      <c r="I50" s="164">
        <v>-37482</v>
      </c>
      <c r="J50" s="164">
        <v>-46738</v>
      </c>
      <c r="K50" s="164">
        <v>-59951</v>
      </c>
      <c r="L50" s="164">
        <v>-75800</v>
      </c>
      <c r="M50" s="164">
        <v>-78092</v>
      </c>
      <c r="N50" s="164">
        <v>-82742</v>
      </c>
      <c r="O50" s="164">
        <v>-82617</v>
      </c>
    </row>
    <row r="51" spans="3:15" x14ac:dyDescent="0.3">
      <c r="C51" s="171" t="s">
        <v>301</v>
      </c>
      <c r="D51" s="164">
        <v>25253</v>
      </c>
      <c r="E51" s="164">
        <v>24980</v>
      </c>
      <c r="F51" s="164">
        <v>52048</v>
      </c>
      <c r="G51" s="164">
        <v>74003</v>
      </c>
      <c r="H51" s="164">
        <v>78098</v>
      </c>
      <c r="I51" s="164">
        <v>38861</v>
      </c>
      <c r="J51" s="164">
        <v>40381</v>
      </c>
      <c r="K51" s="164">
        <v>57356</v>
      </c>
      <c r="L51" s="164">
        <v>76722</v>
      </c>
      <c r="M51" s="164">
        <v>72930</v>
      </c>
      <c r="N51" s="164">
        <v>84877</v>
      </c>
      <c r="O51" s="164">
        <v>89699</v>
      </c>
    </row>
    <row r="52" spans="3:15" x14ac:dyDescent="0.3">
      <c r="C52" s="171" t="s">
        <v>302</v>
      </c>
      <c r="D52" s="164">
        <v>2551</v>
      </c>
      <c r="E52" s="164">
        <v>2383</v>
      </c>
      <c r="F52" s="172">
        <v>0</v>
      </c>
      <c r="G52" s="172">
        <v>0</v>
      </c>
      <c r="H52" s="172">
        <v>0</v>
      </c>
      <c r="I52" s="172">
        <v>0</v>
      </c>
      <c r="J52" s="172">
        <v>0</v>
      </c>
      <c r="K52" s="172">
        <v>0</v>
      </c>
      <c r="L52" s="172">
        <v>0</v>
      </c>
      <c r="M52" s="172">
        <v>0</v>
      </c>
      <c r="N52" s="172">
        <v>0</v>
      </c>
      <c r="O52" s="172">
        <v>0</v>
      </c>
    </row>
    <row r="53" spans="3:15" x14ac:dyDescent="0.3">
      <c r="C53" s="171" t="s">
        <v>303</v>
      </c>
      <c r="D53" s="172">
        <v>0</v>
      </c>
      <c r="E53" s="172">
        <v>0</v>
      </c>
      <c r="F53" s="164">
        <v>2753</v>
      </c>
      <c r="G53" s="164">
        <v>1768</v>
      </c>
      <c r="H53" s="164">
        <v>1557</v>
      </c>
      <c r="I53" s="164">
        <v>1929</v>
      </c>
      <c r="J53" s="164">
        <v>1418</v>
      </c>
      <c r="K53" s="164">
        <v>1898</v>
      </c>
      <c r="L53" s="164">
        <v>1525</v>
      </c>
      <c r="M53" s="164">
        <v>1768</v>
      </c>
      <c r="N53" s="164">
        <v>2040</v>
      </c>
      <c r="O53" s="164">
        <v>2713</v>
      </c>
    </row>
    <row r="54" spans="3:15" x14ac:dyDescent="0.3">
      <c r="C54" s="171" t="s">
        <v>304</v>
      </c>
      <c r="D54" s="164">
        <v>-1376</v>
      </c>
      <c r="E54" s="172">
        <v>-747</v>
      </c>
      <c r="F54" s="172">
        <v>0</v>
      </c>
      <c r="G54" s="172">
        <v>0</v>
      </c>
      <c r="H54" s="172">
        <v>0</v>
      </c>
      <c r="I54" s="172">
        <v>0</v>
      </c>
      <c r="J54" s="172">
        <v>0</v>
      </c>
      <c r="K54" s="172">
        <v>0</v>
      </c>
      <c r="L54" s="172">
        <v>0</v>
      </c>
      <c r="M54" s="172">
        <v>0</v>
      </c>
      <c r="N54" s="172">
        <v>0</v>
      </c>
      <c r="O54" s="172">
        <v>0</v>
      </c>
    </row>
    <row r="55" spans="3:15" x14ac:dyDescent="0.3">
      <c r="C55" s="171" t="s">
        <v>305</v>
      </c>
      <c r="D55" s="172">
        <v>0</v>
      </c>
      <c r="E55" s="172">
        <v>-142</v>
      </c>
      <c r="F55" s="172">
        <v>-164</v>
      </c>
      <c r="G55" s="172">
        <v>-130</v>
      </c>
      <c r="H55" s="172">
        <v>-24</v>
      </c>
      <c r="I55" s="172">
        <v>-108</v>
      </c>
      <c r="J55" s="172">
        <v>0</v>
      </c>
      <c r="K55" s="172">
        <v>0</v>
      </c>
      <c r="L55" s="172">
        <v>0</v>
      </c>
      <c r="M55" s="172">
        <v>0</v>
      </c>
      <c r="N55" s="172">
        <v>0</v>
      </c>
      <c r="O55" s="172">
        <v>0</v>
      </c>
    </row>
    <row r="56" spans="3:15" ht="15" thickBot="1" x14ac:dyDescent="0.35">
      <c r="C56" s="171" t="s">
        <v>306</v>
      </c>
      <c r="D56" s="172">
        <v>741</v>
      </c>
      <c r="E56" s="172">
        <v>-59</v>
      </c>
      <c r="F56" s="172">
        <v>-131</v>
      </c>
      <c r="G56" s="172">
        <v>49</v>
      </c>
      <c r="H56" s="164">
        <v>1592</v>
      </c>
      <c r="I56" s="172">
        <v>-224</v>
      </c>
      <c r="J56" s="172">
        <v>-327</v>
      </c>
      <c r="K56" s="164">
        <v>-3627</v>
      </c>
      <c r="L56" s="172">
        <v>-939</v>
      </c>
      <c r="M56" s="172">
        <v>502</v>
      </c>
      <c r="N56" s="164">
        <v>-3802</v>
      </c>
      <c r="O56" s="164">
        <v>-3522</v>
      </c>
    </row>
    <row r="57" spans="3:15" x14ac:dyDescent="0.3">
      <c r="C57" s="165" t="s">
        <v>307</v>
      </c>
      <c r="D57" s="167">
        <v>-4935</v>
      </c>
      <c r="E57" s="167">
        <v>-6813</v>
      </c>
      <c r="F57" s="167">
        <v>-6939</v>
      </c>
      <c r="G57" s="167">
        <v>-20505</v>
      </c>
      <c r="H57" s="167">
        <v>-14512</v>
      </c>
      <c r="I57" s="167">
        <v>-17591</v>
      </c>
      <c r="J57" s="167">
        <v>-9786</v>
      </c>
      <c r="K57" s="167">
        <v>-24642</v>
      </c>
      <c r="L57" s="167">
        <v>-26695</v>
      </c>
      <c r="M57" s="167">
        <v>-17504</v>
      </c>
      <c r="N57" s="167">
        <v>-24161</v>
      </c>
      <c r="O57" s="167">
        <v>-39786</v>
      </c>
    </row>
    <row r="58" spans="3:15" x14ac:dyDescent="0.3">
      <c r="C58" s="168" t="s">
        <v>308</v>
      </c>
      <c r="D58" s="161">
        <v>0</v>
      </c>
      <c r="E58" s="161">
        <v>0</v>
      </c>
      <c r="F58" s="161">
        <v>0</v>
      </c>
      <c r="G58" s="161">
        <v>5</v>
      </c>
      <c r="H58" s="161">
        <v>6</v>
      </c>
      <c r="I58" s="161">
        <v>6</v>
      </c>
      <c r="J58" s="161">
        <v>15</v>
      </c>
      <c r="K58" s="161">
        <v>21</v>
      </c>
      <c r="L58" s="161">
        <v>35</v>
      </c>
      <c r="M58" s="161">
        <v>5</v>
      </c>
      <c r="N58" s="161">
        <v>6</v>
      </c>
      <c r="O58" s="161">
        <v>2</v>
      </c>
    </row>
    <row r="59" spans="3:15" x14ac:dyDescent="0.3">
      <c r="C59" s="168" t="s">
        <v>309</v>
      </c>
      <c r="D59" s="161">
        <v>0</v>
      </c>
      <c r="E59" s="161">
        <v>0</v>
      </c>
      <c r="F59" s="161">
        <v>0</v>
      </c>
      <c r="G59" s="161">
        <v>0</v>
      </c>
      <c r="H59" s="161">
        <v>0</v>
      </c>
      <c r="I59" s="161">
        <v>0</v>
      </c>
      <c r="J59" s="161">
        <v>0</v>
      </c>
      <c r="K59" s="161">
        <v>0</v>
      </c>
      <c r="L59" s="161">
        <v>0</v>
      </c>
      <c r="M59" s="161">
        <v>0</v>
      </c>
      <c r="N59" s="161">
        <v>-985</v>
      </c>
      <c r="O59" s="161">
        <v>0</v>
      </c>
    </row>
    <row r="60" spans="3:15" x14ac:dyDescent="0.3">
      <c r="C60" s="168" t="s">
        <v>310</v>
      </c>
      <c r="D60" s="162">
        <v>-4935</v>
      </c>
      <c r="E60" s="162">
        <v>-6813</v>
      </c>
      <c r="F60" s="162">
        <v>-6939</v>
      </c>
      <c r="G60" s="162">
        <v>-7464</v>
      </c>
      <c r="H60" s="162">
        <v>-13705</v>
      </c>
      <c r="I60" s="162">
        <v>-9548</v>
      </c>
      <c r="J60" s="162">
        <v>-9137</v>
      </c>
      <c r="K60" s="162">
        <v>-12731</v>
      </c>
      <c r="L60" s="162">
        <v>-13653</v>
      </c>
      <c r="M60" s="162">
        <v>-14731</v>
      </c>
      <c r="N60" s="162">
        <v>-20289</v>
      </c>
      <c r="O60" s="162">
        <v>-18656</v>
      </c>
    </row>
    <row r="61" spans="3:15" x14ac:dyDescent="0.3">
      <c r="C61" s="168" t="s">
        <v>311</v>
      </c>
      <c r="D61" s="161">
        <v>0</v>
      </c>
      <c r="E61" s="161">
        <v>0</v>
      </c>
      <c r="F61" s="161">
        <v>0</v>
      </c>
      <c r="G61" s="161">
        <v>0</v>
      </c>
      <c r="H61" s="161">
        <v>0</v>
      </c>
      <c r="I61" s="161">
        <v>-571</v>
      </c>
      <c r="J61" s="161">
        <v>-698</v>
      </c>
      <c r="K61" s="161">
        <v>-915</v>
      </c>
      <c r="L61" s="162">
        <v>-1231</v>
      </c>
      <c r="M61" s="162">
        <v>-2024</v>
      </c>
      <c r="N61" s="162">
        <v>-2355</v>
      </c>
      <c r="O61" s="162">
        <v>-2824</v>
      </c>
    </row>
    <row r="62" spans="3:15" ht="15" thickBot="1" x14ac:dyDescent="0.35">
      <c r="C62" s="168" t="s">
        <v>312</v>
      </c>
      <c r="D62" s="161">
        <v>0</v>
      </c>
      <c r="E62" s="161">
        <v>0</v>
      </c>
      <c r="F62" s="161">
        <v>0</v>
      </c>
      <c r="G62" s="162">
        <v>-13046</v>
      </c>
      <c r="H62" s="161">
        <v>-813</v>
      </c>
      <c r="I62" s="162">
        <v>-7478</v>
      </c>
      <c r="J62" s="161">
        <v>34</v>
      </c>
      <c r="K62" s="162">
        <v>-11017</v>
      </c>
      <c r="L62" s="162">
        <v>-11846</v>
      </c>
      <c r="M62" s="161">
        <v>-754</v>
      </c>
      <c r="N62" s="161">
        <v>-538</v>
      </c>
      <c r="O62" s="162">
        <v>-18308</v>
      </c>
    </row>
    <row r="63" spans="3:15" x14ac:dyDescent="0.3">
      <c r="C63" s="169" t="s">
        <v>25</v>
      </c>
      <c r="D63" s="170">
        <v>4417</v>
      </c>
      <c r="E63" s="170">
        <v>2330</v>
      </c>
      <c r="F63" s="170">
        <v>-10072</v>
      </c>
      <c r="G63" s="170">
        <v>-2754</v>
      </c>
      <c r="H63" s="175">
        <v>-303</v>
      </c>
      <c r="I63" s="175">
        <v>-919</v>
      </c>
      <c r="J63" s="170">
        <v>6065</v>
      </c>
      <c r="K63" s="170">
        <v>-7242</v>
      </c>
      <c r="L63" s="170">
        <v>-5299</v>
      </c>
      <c r="M63" s="170">
        <v>2613</v>
      </c>
      <c r="N63" s="170">
        <v>9669</v>
      </c>
      <c r="O63" s="170">
        <v>-2254</v>
      </c>
    </row>
    <row r="64" spans="3:15" x14ac:dyDescent="0.3">
      <c r="C64" s="176" t="s">
        <v>313</v>
      </c>
      <c r="D64" s="177">
        <v>6106</v>
      </c>
      <c r="E64" s="177">
        <v>7305</v>
      </c>
      <c r="F64" s="177">
        <v>8771</v>
      </c>
      <c r="G64" s="177">
        <v>11220</v>
      </c>
      <c r="H64" s="177">
        <v>12396</v>
      </c>
      <c r="I64" s="177">
        <v>13696</v>
      </c>
      <c r="J64" s="177">
        <v>21117</v>
      </c>
      <c r="K64" s="177">
        <v>21724</v>
      </c>
      <c r="L64" s="177">
        <v>19888</v>
      </c>
      <c r="M64" s="177">
        <v>23009</v>
      </c>
      <c r="N64" s="177">
        <v>33457</v>
      </c>
      <c r="O64" s="177">
        <v>31259</v>
      </c>
    </row>
    <row r="65" spans="3:15" x14ac:dyDescent="0.3">
      <c r="C65" s="178" t="s">
        <v>314</v>
      </c>
      <c r="D65" s="179">
        <v>1.01</v>
      </c>
      <c r="E65" s="179">
        <v>0.93</v>
      </c>
      <c r="F65" s="179">
        <v>0.92</v>
      </c>
      <c r="G65" s="179">
        <v>1.07</v>
      </c>
      <c r="H65" s="179">
        <v>1.07</v>
      </c>
      <c r="I65" s="179">
        <v>0.97</v>
      </c>
      <c r="J65" s="179">
        <v>1.06</v>
      </c>
      <c r="K65" s="179">
        <v>1</v>
      </c>
      <c r="L65" s="179">
        <v>0.89</v>
      </c>
      <c r="M65" s="179">
        <v>0.95</v>
      </c>
      <c r="N65" s="179">
        <v>1.05</v>
      </c>
      <c r="O65" s="179">
        <v>1.01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A7FC-BF7E-4AE2-9107-B31B27CC6896}">
  <sheetPr>
    <tabColor rgb="FF92D050"/>
  </sheetPr>
  <dimension ref="B3:R43"/>
  <sheetViews>
    <sheetView showGridLines="0" zoomScale="77" workbookViewId="0">
      <selection activeCell="G34" sqref="G34"/>
    </sheetView>
  </sheetViews>
  <sheetFormatPr defaultRowHeight="14.4" x14ac:dyDescent="0.3"/>
  <cols>
    <col min="1" max="1" width="2.6640625" customWidth="1"/>
    <col min="5" max="5" width="14.109375" bestFit="1" customWidth="1"/>
    <col min="6" max="6" width="9.88671875" bestFit="1" customWidth="1"/>
    <col min="7" max="7" width="15.5546875" customWidth="1"/>
    <col min="8" max="8" width="12.33203125" customWidth="1"/>
    <col min="9" max="9" width="12.109375" customWidth="1"/>
    <col min="10" max="10" width="11.33203125" customWidth="1"/>
    <col min="11" max="11" width="11.6640625" customWidth="1"/>
    <col min="16" max="16" width="12" customWidth="1"/>
  </cols>
  <sheetData>
    <row r="3" spans="2:11" x14ac:dyDescent="0.3">
      <c r="B3" s="80"/>
      <c r="C3" s="80"/>
      <c r="D3" s="80"/>
      <c r="E3" s="80"/>
      <c r="F3" s="80">
        <v>0</v>
      </c>
      <c r="G3" s="80">
        <v>0.5</v>
      </c>
      <c r="H3" s="80">
        <v>1.5</v>
      </c>
      <c r="I3" s="80">
        <v>2.5</v>
      </c>
      <c r="J3" s="80">
        <v>3.5</v>
      </c>
      <c r="K3" s="80">
        <v>4.5</v>
      </c>
    </row>
    <row r="4" spans="2:11" x14ac:dyDescent="0.3">
      <c r="B4" s="116" t="s">
        <v>246</v>
      </c>
      <c r="C4" s="117"/>
      <c r="D4" s="117"/>
      <c r="E4" s="117"/>
      <c r="F4" s="119">
        <v>46082</v>
      </c>
      <c r="G4" s="119">
        <v>46447</v>
      </c>
      <c r="H4" s="119">
        <v>46812</v>
      </c>
      <c r="I4" s="119">
        <v>47177</v>
      </c>
      <c r="J4" s="119">
        <v>47542</v>
      </c>
      <c r="K4" s="119">
        <v>47907</v>
      </c>
    </row>
    <row r="6" spans="2:11" x14ac:dyDescent="0.3">
      <c r="B6" s="80" t="s">
        <v>233</v>
      </c>
      <c r="C6" s="80"/>
      <c r="D6" s="80"/>
      <c r="E6" s="80"/>
      <c r="F6" s="135">
        <f>'Profit &amp; Loss'!K14-'Profit &amp; Loss'!K15</f>
        <v>40411</v>
      </c>
      <c r="G6" s="135">
        <f>'Profit &amp; Loss'!L14-'Profit &amp; Loss'!L15</f>
        <v>43016.33333333335</v>
      </c>
      <c r="H6" s="135">
        <f>'Profit &amp; Loss'!M14-'Profit &amp; Loss'!M15</f>
        <v>45581.648484848462</v>
      </c>
      <c r="I6" s="135">
        <f>'Profit &amp; Loss'!N14-'Profit &amp; Loss'!N15</f>
        <v>48146.963636363595</v>
      </c>
      <c r="J6" s="135">
        <f>'Profit &amp; Loss'!O14-'Profit &amp; Loss'!O15</f>
        <v>50712.2787878788</v>
      </c>
      <c r="K6" s="135">
        <f>'Profit &amp; Loss'!P14-'Profit &amp; Loss'!P15</f>
        <v>53277.593939393926</v>
      </c>
    </row>
    <row r="8" spans="2:11" x14ac:dyDescent="0.3">
      <c r="B8" s="80" t="s">
        <v>186</v>
      </c>
      <c r="C8" s="80"/>
      <c r="D8" s="80"/>
      <c r="E8" s="80"/>
      <c r="F8" s="94">
        <v>0.25</v>
      </c>
      <c r="G8" s="94">
        <f>F8</f>
        <v>0.25</v>
      </c>
      <c r="H8" s="94">
        <f t="shared" ref="H8:K8" si="0">G8</f>
        <v>0.25</v>
      </c>
      <c r="I8" s="94">
        <f t="shared" si="0"/>
        <v>0.25</v>
      </c>
      <c r="J8" s="94">
        <f t="shared" si="0"/>
        <v>0.25</v>
      </c>
      <c r="K8" s="94">
        <f t="shared" si="0"/>
        <v>0.25</v>
      </c>
    </row>
    <row r="10" spans="2:11" x14ac:dyDescent="0.3">
      <c r="B10" s="80" t="s">
        <v>247</v>
      </c>
      <c r="C10" s="80"/>
      <c r="D10" s="80"/>
      <c r="E10" s="80"/>
      <c r="F10" s="135">
        <f>F6*(1-F8)</f>
        <v>30308.25</v>
      </c>
      <c r="G10" s="135">
        <f t="shared" ref="G10:K10" si="1">G6*(1-G8)</f>
        <v>32262.250000000015</v>
      </c>
      <c r="H10" s="135">
        <f t="shared" si="1"/>
        <v>34186.236363636344</v>
      </c>
      <c r="I10" s="135">
        <f t="shared" si="1"/>
        <v>36110.222727272696</v>
      </c>
      <c r="J10" s="135">
        <f t="shared" si="1"/>
        <v>38034.209090909098</v>
      </c>
      <c r="K10" s="135">
        <f t="shared" si="1"/>
        <v>39958.195454545443</v>
      </c>
    </row>
    <row r="12" spans="2:11" x14ac:dyDescent="0.3">
      <c r="B12" s="80" t="s">
        <v>248</v>
      </c>
      <c r="C12" s="80"/>
      <c r="D12" s="80"/>
      <c r="E12" s="80"/>
      <c r="F12" s="94">
        <f>'INTRINSIC GROWTH'!K55</f>
        <v>-9.2923381742045744E-2</v>
      </c>
      <c r="G12" s="94">
        <f>F12</f>
        <v>-9.2923381742045744E-2</v>
      </c>
      <c r="H12" s="94">
        <f t="shared" ref="H12:K12" si="2">G12</f>
        <v>-9.2923381742045744E-2</v>
      </c>
      <c r="I12" s="94">
        <f t="shared" si="2"/>
        <v>-9.2923381742045744E-2</v>
      </c>
      <c r="J12" s="94">
        <f t="shared" si="2"/>
        <v>-9.2923381742045744E-2</v>
      </c>
      <c r="K12" s="94">
        <f t="shared" si="2"/>
        <v>-9.2923381742045744E-2</v>
      </c>
    </row>
    <row r="14" spans="2:11" ht="15" thickBot="1" x14ac:dyDescent="0.35">
      <c r="B14" s="125" t="s">
        <v>249</v>
      </c>
      <c r="C14" s="125"/>
      <c r="D14" s="125"/>
      <c r="E14" s="125"/>
      <c r="F14" s="137">
        <f>F10*(1-F12)</f>
        <v>33124.595084683358</v>
      </c>
      <c r="G14" s="137">
        <f t="shared" ref="G14:K14" si="3">G10*(1-G12)</f>
        <v>35260.167372607335</v>
      </c>
      <c r="H14" s="137">
        <f t="shared" si="3"/>
        <v>37362.937055578332</v>
      </c>
      <c r="I14" s="137">
        <f t="shared" si="3"/>
        <v>39465.706738549357</v>
      </c>
      <c r="J14" s="137">
        <f t="shared" si="3"/>
        <v>41568.476421520434</v>
      </c>
      <c r="K14" s="137">
        <f t="shared" si="3"/>
        <v>43671.246104491453</v>
      </c>
    </row>
    <row r="16" spans="2:11" x14ac:dyDescent="0.3">
      <c r="B16" s="80" t="s">
        <v>250</v>
      </c>
      <c r="C16" s="80"/>
      <c r="D16" s="80"/>
      <c r="E16" s="80"/>
      <c r="F16" s="87">
        <f>1/(1+$E$27)^F3</f>
        <v>1</v>
      </c>
      <c r="G16" s="87">
        <f t="shared" ref="G16:K16" si="4">1/(1+$E$27)^G3</f>
        <v>0.98247203451551657</v>
      </c>
      <c r="H16" s="87">
        <f t="shared" si="4"/>
        <v>0.94833240715925582</v>
      </c>
      <c r="I16" s="87">
        <f t="shared" si="4"/>
        <v>0.9153790875197324</v>
      </c>
      <c r="J16" s="87">
        <f t="shared" si="4"/>
        <v>0.88357085294433479</v>
      </c>
      <c r="K16" s="87">
        <f t="shared" si="4"/>
        <v>0.85286791321409805</v>
      </c>
    </row>
    <row r="18" spans="2:18" ht="15" thickBot="1" x14ac:dyDescent="0.35">
      <c r="B18" s="125" t="s">
        <v>251</v>
      </c>
      <c r="C18" s="125"/>
      <c r="D18" s="125"/>
      <c r="E18" s="125"/>
      <c r="F18" s="137"/>
      <c r="G18" s="137"/>
      <c r="H18" s="137"/>
      <c r="I18" s="137"/>
      <c r="J18" s="137"/>
      <c r="K18" s="137"/>
    </row>
    <row r="20" spans="2:18" x14ac:dyDescent="0.3">
      <c r="B20" s="134" t="s">
        <v>252</v>
      </c>
      <c r="C20" s="134"/>
      <c r="D20" s="138"/>
      <c r="E20" s="138">
        <f>(AVERAGE('RATIO ANALYSIS'!M4:Q4))</f>
        <v>6.3768597251027209E-2</v>
      </c>
      <c r="F20" s="80"/>
      <c r="G20" s="80"/>
      <c r="H20" s="80"/>
      <c r="I20" s="80"/>
      <c r="J20" s="80"/>
      <c r="K20" s="80"/>
      <c r="M20" s="80"/>
      <c r="N20" s="80"/>
      <c r="O20" s="80"/>
      <c r="P20" s="80"/>
      <c r="Q20" s="80"/>
      <c r="R20" s="80"/>
    </row>
    <row r="21" spans="2:18" x14ac:dyDescent="0.3">
      <c r="B21" s="134" t="s">
        <v>253</v>
      </c>
      <c r="C21" s="134"/>
      <c r="D21" s="138"/>
      <c r="E21" s="138">
        <v>3.5000000000000003E-2</v>
      </c>
      <c r="F21" s="80"/>
      <c r="G21" s="80"/>
      <c r="H21" s="80"/>
      <c r="I21" s="80"/>
      <c r="J21" s="80"/>
      <c r="K21" s="80"/>
      <c r="M21" s="80"/>
      <c r="N21" s="80"/>
      <c r="O21" s="80"/>
      <c r="P21" s="80"/>
      <c r="Q21" s="80"/>
      <c r="R21" s="80"/>
    </row>
    <row r="24" spans="2:18" x14ac:dyDescent="0.3">
      <c r="B24" s="116" t="s">
        <v>254</v>
      </c>
      <c r="C24" s="117"/>
      <c r="D24" s="117"/>
      <c r="E24" s="117"/>
      <c r="F24" s="80"/>
      <c r="G24" s="116" t="s">
        <v>320</v>
      </c>
      <c r="H24" s="117"/>
      <c r="I24" s="117"/>
      <c r="J24" s="117"/>
      <c r="K24" s="117"/>
      <c r="M24" s="80"/>
      <c r="N24" s="80"/>
      <c r="O24" s="80"/>
      <c r="P24" s="80"/>
      <c r="Q24" s="80"/>
      <c r="R24" s="80"/>
    </row>
    <row r="25" spans="2:18" x14ac:dyDescent="0.3">
      <c r="G25" s="183">
        <f>E37</f>
        <v>30260509.58713223</v>
      </c>
      <c r="H25" s="11">
        <v>0.01</v>
      </c>
      <c r="I25" s="11">
        <v>0.02</v>
      </c>
      <c r="J25" s="11">
        <v>3.5999999999999997E-2</v>
      </c>
      <c r="K25" s="11">
        <v>4.0300000000000002E-2</v>
      </c>
    </row>
    <row r="26" spans="2:18" x14ac:dyDescent="0.3">
      <c r="B26" s="80" t="s">
        <v>255</v>
      </c>
      <c r="C26" s="80"/>
      <c r="D26" s="80"/>
      <c r="E26" s="135">
        <f>F14*(1+E20)</f>
        <v>35236.904047741882</v>
      </c>
      <c r="F26" s="80"/>
      <c r="G26" s="185">
        <v>3.5000000000000003E-2</v>
      </c>
      <c r="H26" s="115">
        <f t="dataTable" ref="H26:K30" dt2D="1" dtr="1" r1="E27" r2="E28"/>
        <v>-1150428.3328357253</v>
      </c>
      <c r="I26" s="115">
        <v>-1951519.5422289474</v>
      </c>
      <c r="J26" s="187">
        <v>30249706.652683631</v>
      </c>
      <c r="K26" s="115">
        <v>5762879.7165892962</v>
      </c>
      <c r="M26" s="80"/>
      <c r="N26" s="80"/>
      <c r="O26" s="80"/>
      <c r="P26" s="80"/>
      <c r="Q26" s="80"/>
      <c r="R26" s="80"/>
    </row>
    <row r="27" spans="2:18" x14ac:dyDescent="0.3">
      <c r="B27" s="80" t="s">
        <v>205</v>
      </c>
      <c r="C27" s="80"/>
      <c r="D27" s="80"/>
      <c r="E27" s="94">
        <f>WACC!J44</f>
        <v>3.5999642212509141E-2</v>
      </c>
      <c r="F27" s="80"/>
      <c r="G27" s="185">
        <v>0.04</v>
      </c>
      <c r="H27" s="115">
        <v>-925802.18841431336</v>
      </c>
      <c r="I27" s="115">
        <v>-1414307.5232485237</v>
      </c>
      <c r="J27" s="115">
        <v>-7315765.9960549213</v>
      </c>
      <c r="K27" s="115">
        <v>98522066.098197877</v>
      </c>
      <c r="M27" s="80"/>
      <c r="N27" s="80"/>
      <c r="O27" s="80"/>
      <c r="P27" s="80"/>
      <c r="Q27" s="80"/>
      <c r="R27" s="80"/>
    </row>
    <row r="28" spans="2:18" x14ac:dyDescent="0.3">
      <c r="B28" s="80" t="s">
        <v>256</v>
      </c>
      <c r="C28" s="80"/>
      <c r="D28" s="80"/>
      <c r="E28" s="94">
        <f>E21</f>
        <v>3.5000000000000003E-2</v>
      </c>
      <c r="F28" s="80"/>
      <c r="G28" s="185">
        <v>5.7500000000000002E-2</v>
      </c>
      <c r="H28" s="115">
        <v>-512017.18553276471</v>
      </c>
      <c r="I28" s="115">
        <v>-662210.69667593064</v>
      </c>
      <c r="J28" s="188">
        <v>-1200456.495097518</v>
      </c>
      <c r="K28" s="115">
        <v>-1517637.8191765384</v>
      </c>
      <c r="M28" s="80"/>
      <c r="N28" s="80"/>
      <c r="O28" s="80"/>
      <c r="P28" s="80"/>
      <c r="Q28" s="80"/>
      <c r="R28" s="80"/>
    </row>
    <row r="29" spans="2:18" x14ac:dyDescent="0.3">
      <c r="G29" s="186">
        <v>0.06</v>
      </c>
      <c r="H29" s="184">
        <v>-476549.89957148925</v>
      </c>
      <c r="I29" s="184">
        <v>-608489.49477788853</v>
      </c>
      <c r="J29" s="184">
        <v>-1054853.8879318656</v>
      </c>
      <c r="K29" s="184">
        <v>-1300002.4952083551</v>
      </c>
    </row>
    <row r="30" spans="2:18" ht="15" thickBot="1" x14ac:dyDescent="0.35">
      <c r="B30" s="125" t="s">
        <v>257</v>
      </c>
      <c r="C30" s="125"/>
      <c r="D30" s="125"/>
      <c r="E30" s="182">
        <f>E26/(E27-E28)</f>
        <v>35249515.883583993</v>
      </c>
      <c r="F30" s="80"/>
      <c r="G30" s="185">
        <v>7.0000000000000007E-2</v>
      </c>
      <c r="H30" s="115">
        <v>-364236.82736078306</v>
      </c>
      <c r="I30" s="115">
        <v>-447325.88908376131</v>
      </c>
      <c r="J30" s="115">
        <v>-686564.94039521459</v>
      </c>
      <c r="K30" s="115">
        <v>-795850.63362549199</v>
      </c>
      <c r="M30" s="80"/>
      <c r="N30" s="80"/>
      <c r="O30" s="80"/>
      <c r="P30" s="80"/>
      <c r="Q30" s="80"/>
      <c r="R30" s="80"/>
    </row>
    <row r="33" spans="2:5" x14ac:dyDescent="0.3">
      <c r="B33" s="116" t="s">
        <v>258</v>
      </c>
      <c r="C33" s="117"/>
      <c r="D33" s="117"/>
      <c r="E33" s="117"/>
    </row>
    <row r="35" spans="2:5" x14ac:dyDescent="0.3">
      <c r="B35" s="80" t="s">
        <v>251</v>
      </c>
      <c r="C35" s="80"/>
      <c r="D35" s="80"/>
      <c r="E35" s="135">
        <f>SUM(G14:K14)</f>
        <v>197328.53369274695</v>
      </c>
    </row>
    <row r="36" spans="2:5" x14ac:dyDescent="0.3">
      <c r="B36" s="80" t="s">
        <v>259</v>
      </c>
      <c r="C36" s="80"/>
      <c r="D36" s="80"/>
      <c r="E36" s="139">
        <f>K16*E30</f>
        <v>30063181.053439483</v>
      </c>
    </row>
    <row r="37" spans="2:5" x14ac:dyDescent="0.3">
      <c r="B37" s="81" t="s">
        <v>260</v>
      </c>
      <c r="C37" s="81"/>
      <c r="D37" s="81"/>
      <c r="E37" s="136">
        <f>SUM(E35:E36)</f>
        <v>30260509.58713223</v>
      </c>
    </row>
    <row r="39" spans="2:5" x14ac:dyDescent="0.3">
      <c r="B39" s="80" t="s">
        <v>261</v>
      </c>
      <c r="C39" s="80"/>
      <c r="D39" s="80"/>
      <c r="E39" s="118">
        <f>'RAW FS'!I32</f>
        <v>22201</v>
      </c>
    </row>
    <row r="40" spans="2:5" x14ac:dyDescent="0.3">
      <c r="B40" s="80" t="s">
        <v>262</v>
      </c>
      <c r="C40" s="80"/>
      <c r="D40" s="80"/>
      <c r="E40" s="118">
        <f>'RAW FS'!E8</f>
        <v>5474</v>
      </c>
    </row>
    <row r="41" spans="2:5" x14ac:dyDescent="0.3">
      <c r="B41" s="81" t="s">
        <v>263</v>
      </c>
      <c r="C41" s="81"/>
      <c r="D41" s="81"/>
      <c r="E41" s="136">
        <f>E37+E39-E40</f>
        <v>30277236.58713223</v>
      </c>
    </row>
    <row r="42" spans="2:5" x14ac:dyDescent="0.3">
      <c r="B42" s="80" t="s">
        <v>264</v>
      </c>
      <c r="C42" s="80"/>
      <c r="D42" s="80"/>
      <c r="E42" s="135">
        <f>'Data Sheet'!B6</f>
        <v>405.7578453653112</v>
      </c>
    </row>
    <row r="43" spans="2:5" x14ac:dyDescent="0.3">
      <c r="B43" s="80" t="s">
        <v>265</v>
      </c>
      <c r="C43" s="80"/>
      <c r="D43" s="80"/>
      <c r="E43" s="139">
        <f>E41/E42</f>
        <v>74618.980096054787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B944-0FE7-4486-B71C-7F4A554A7C00}">
  <sheetPr>
    <tabColor rgb="FF7030A0"/>
  </sheetPr>
  <dimension ref="A1"/>
  <sheetViews>
    <sheetView workbookViewId="0">
      <selection activeCell="H27" sqref="H27"/>
    </sheetView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K93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H9" sqref="H9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39</v>
      </c>
      <c r="E1" s="180" t="str">
        <f>IF(B2&lt;&gt;B3, "A NEW VERSION OF THE WORKSHEET IS AVAILABLE", "")</f>
        <v/>
      </c>
      <c r="F1" s="180"/>
      <c r="G1" s="180"/>
      <c r="H1" s="180"/>
      <c r="I1" s="180"/>
      <c r="J1" s="180"/>
      <c r="K1" s="180"/>
    </row>
    <row r="2" spans="1:11" x14ac:dyDescent="0.3">
      <c r="A2" s="1" t="s">
        <v>37</v>
      </c>
      <c r="B2" s="4">
        <v>2.1</v>
      </c>
      <c r="E2" s="181" t="s">
        <v>26</v>
      </c>
      <c r="F2" s="181"/>
      <c r="G2" s="181"/>
      <c r="H2" s="181"/>
      <c r="I2" s="181"/>
      <c r="J2" s="181"/>
      <c r="K2" s="181"/>
    </row>
    <row r="3" spans="1:11" x14ac:dyDescent="0.3">
      <c r="A3" s="1" t="s">
        <v>38</v>
      </c>
      <c r="B3" s="4">
        <v>2.1</v>
      </c>
    </row>
    <row r="4" spans="1:11" x14ac:dyDescent="0.3">
      <c r="A4" s="1"/>
    </row>
    <row r="5" spans="1:11" x14ac:dyDescent="0.3">
      <c r="A5" s="1" t="s">
        <v>40</v>
      </c>
    </row>
    <row r="6" spans="1:11" x14ac:dyDescent="0.3">
      <c r="A6" s="4" t="s">
        <v>32</v>
      </c>
      <c r="B6" s="4">
        <f>IF(B9&gt;0, B9/B8, 0)</f>
        <v>405.7578453653112</v>
      </c>
    </row>
    <row r="7" spans="1:11" x14ac:dyDescent="0.3">
      <c r="A7" s="4" t="s">
        <v>21</v>
      </c>
      <c r="B7">
        <v>5</v>
      </c>
    </row>
    <row r="8" spans="1:11" x14ac:dyDescent="0.3">
      <c r="A8" s="4" t="s">
        <v>33</v>
      </c>
      <c r="B8">
        <v>1034.05</v>
      </c>
    </row>
    <row r="9" spans="1:11" x14ac:dyDescent="0.3">
      <c r="A9" s="4" t="s">
        <v>50</v>
      </c>
      <c r="B9">
        <v>419573.9</v>
      </c>
    </row>
    <row r="15" spans="1:11" x14ac:dyDescent="0.3">
      <c r="A15" s="1" t="s">
        <v>27</v>
      </c>
    </row>
    <row r="16" spans="1:11" s="13" customFormat="1" x14ac:dyDescent="0.3">
      <c r="A16" s="12" t="s">
        <v>28</v>
      </c>
      <c r="B16" s="8">
        <v>42825</v>
      </c>
      <c r="C16" s="8">
        <v>43190</v>
      </c>
      <c r="D16" s="8">
        <v>43555</v>
      </c>
      <c r="E16" s="8">
        <v>43921</v>
      </c>
      <c r="F16" s="8">
        <v>44286</v>
      </c>
      <c r="G16" s="8">
        <v>44651</v>
      </c>
      <c r="H16" s="8">
        <v>45016</v>
      </c>
      <c r="I16" s="8">
        <v>45382</v>
      </c>
      <c r="J16" s="8">
        <v>45747</v>
      </c>
      <c r="K16" s="8">
        <v>46112</v>
      </c>
    </row>
    <row r="17" spans="1:11" s="6" customFormat="1" x14ac:dyDescent="0.3">
      <c r="A17" s="6" t="s">
        <v>3</v>
      </c>
      <c r="B17">
        <v>68484</v>
      </c>
      <c r="C17">
        <v>70522</v>
      </c>
      <c r="D17">
        <v>82675</v>
      </c>
      <c r="E17">
        <v>90791</v>
      </c>
      <c r="F17">
        <v>100472</v>
      </c>
      <c r="G17">
        <v>121641</v>
      </c>
      <c r="H17">
        <v>146767</v>
      </c>
      <c r="I17">
        <v>153670</v>
      </c>
      <c r="J17">
        <v>162990</v>
      </c>
      <c r="K17">
        <v>178650</v>
      </c>
    </row>
    <row r="18" spans="1:11" s="6" customFormat="1" x14ac:dyDescent="0.3">
      <c r="A18" s="4" t="s">
        <v>51</v>
      </c>
    </row>
    <row r="19" spans="1:11" s="6" customFormat="1" x14ac:dyDescent="0.3">
      <c r="A19" s="4" t="s">
        <v>52</v>
      </c>
    </row>
    <row r="20" spans="1:11" s="6" customFormat="1" x14ac:dyDescent="0.3">
      <c r="A20" s="4" t="s">
        <v>53</v>
      </c>
      <c r="B20">
        <v>228</v>
      </c>
      <c r="C20">
        <v>207</v>
      </c>
      <c r="D20">
        <v>221</v>
      </c>
      <c r="E20">
        <v>229</v>
      </c>
      <c r="F20">
        <v>143</v>
      </c>
      <c r="G20">
        <v>132</v>
      </c>
      <c r="H20">
        <v>176</v>
      </c>
      <c r="I20">
        <v>199</v>
      </c>
      <c r="J20">
        <v>222</v>
      </c>
      <c r="K20">
        <v>223</v>
      </c>
    </row>
    <row r="21" spans="1:11" s="6" customFormat="1" x14ac:dyDescent="0.3">
      <c r="A21" s="4" t="s">
        <v>54</v>
      </c>
      <c r="B21">
        <v>6712</v>
      </c>
      <c r="C21">
        <v>7286</v>
      </c>
      <c r="D21">
        <v>9902</v>
      </c>
      <c r="E21">
        <v>11086</v>
      </c>
      <c r="F21">
        <v>12800</v>
      </c>
      <c r="G21">
        <v>20690</v>
      </c>
      <c r="H21">
        <v>26330</v>
      </c>
      <c r="I21">
        <v>27195</v>
      </c>
      <c r="J21">
        <v>30395</v>
      </c>
      <c r="K21">
        <v>32922</v>
      </c>
    </row>
    <row r="22" spans="1:11" s="6" customFormat="1" x14ac:dyDescent="0.3">
      <c r="A22" s="4" t="s">
        <v>55</v>
      </c>
      <c r="B22">
        <v>37669</v>
      </c>
      <c r="C22">
        <v>38902</v>
      </c>
      <c r="D22">
        <v>45323</v>
      </c>
      <c r="E22">
        <v>50895</v>
      </c>
      <c r="F22">
        <v>55547</v>
      </c>
      <c r="G22">
        <v>63997</v>
      </c>
      <c r="H22">
        <v>78374</v>
      </c>
      <c r="I22">
        <v>82636</v>
      </c>
      <c r="J22">
        <v>85968</v>
      </c>
      <c r="K22">
        <v>95112</v>
      </c>
    </row>
    <row r="23" spans="1:11" s="6" customFormat="1" x14ac:dyDescent="0.3">
      <c r="A23" s="4" t="s">
        <v>56</v>
      </c>
      <c r="B23">
        <v>4584</v>
      </c>
      <c r="C23">
        <v>4585</v>
      </c>
      <c r="D23">
        <v>5553</v>
      </c>
      <c r="E23">
        <v>5375</v>
      </c>
      <c r="F23">
        <v>3194</v>
      </c>
      <c r="G23">
        <v>4305</v>
      </c>
      <c r="H23">
        <v>5300</v>
      </c>
      <c r="I23">
        <v>5705</v>
      </c>
      <c r="J23">
        <v>6039</v>
      </c>
      <c r="K23">
        <v>6784</v>
      </c>
    </row>
    <row r="24" spans="1:11" s="6" customFormat="1" x14ac:dyDescent="0.3">
      <c r="A24" s="4" t="s">
        <v>57</v>
      </c>
      <c r="B24">
        <v>687</v>
      </c>
      <c r="C24">
        <v>720</v>
      </c>
      <c r="D24">
        <v>1506</v>
      </c>
      <c r="E24">
        <v>939</v>
      </c>
      <c r="F24">
        <v>899</v>
      </c>
      <c r="G24">
        <v>1026</v>
      </c>
      <c r="H24">
        <v>1457</v>
      </c>
      <c r="I24">
        <v>1510</v>
      </c>
      <c r="J24">
        <v>1130</v>
      </c>
      <c r="K24">
        <v>1329</v>
      </c>
    </row>
    <row r="25" spans="1:11" s="6" customFormat="1" x14ac:dyDescent="0.3">
      <c r="A25" s="6" t="s">
        <v>6</v>
      </c>
      <c r="B25">
        <v>3050</v>
      </c>
      <c r="C25">
        <v>3311</v>
      </c>
      <c r="D25">
        <v>2882</v>
      </c>
      <c r="E25">
        <v>2803</v>
      </c>
      <c r="F25">
        <v>2201</v>
      </c>
      <c r="G25">
        <v>2295</v>
      </c>
      <c r="H25">
        <v>2701</v>
      </c>
      <c r="I25">
        <v>4711</v>
      </c>
      <c r="J25">
        <v>3600</v>
      </c>
      <c r="K25">
        <v>3033</v>
      </c>
    </row>
    <row r="26" spans="1:11" s="6" customFormat="1" x14ac:dyDescent="0.3">
      <c r="A26" s="6" t="s">
        <v>7</v>
      </c>
      <c r="B26">
        <v>1703</v>
      </c>
      <c r="C26">
        <v>1863</v>
      </c>
      <c r="D26">
        <v>2011</v>
      </c>
      <c r="E26">
        <v>2893</v>
      </c>
      <c r="F26">
        <v>3267</v>
      </c>
      <c r="G26">
        <v>3476</v>
      </c>
      <c r="H26">
        <v>4225</v>
      </c>
      <c r="I26">
        <v>4678</v>
      </c>
      <c r="J26">
        <v>4812</v>
      </c>
      <c r="K26">
        <v>4902</v>
      </c>
    </row>
    <row r="27" spans="1:11" s="6" customFormat="1" x14ac:dyDescent="0.3">
      <c r="A27" s="6" t="s">
        <v>8</v>
      </c>
      <c r="B27"/>
      <c r="C27"/>
      <c r="D27"/>
      <c r="E27">
        <v>170</v>
      </c>
      <c r="F27">
        <v>195</v>
      </c>
      <c r="G27">
        <v>200</v>
      </c>
      <c r="H27">
        <v>284</v>
      </c>
      <c r="I27">
        <v>470</v>
      </c>
      <c r="J27">
        <v>416</v>
      </c>
      <c r="K27">
        <v>416</v>
      </c>
    </row>
    <row r="28" spans="1:11" s="6" customFormat="1" x14ac:dyDescent="0.3">
      <c r="A28" s="6" t="s">
        <v>9</v>
      </c>
      <c r="B28">
        <v>19951</v>
      </c>
      <c r="C28">
        <v>20270</v>
      </c>
      <c r="D28">
        <v>21041</v>
      </c>
      <c r="E28">
        <v>22007</v>
      </c>
      <c r="F28">
        <v>26628</v>
      </c>
      <c r="G28">
        <v>30110</v>
      </c>
      <c r="H28">
        <v>33322</v>
      </c>
      <c r="I28">
        <v>35988</v>
      </c>
      <c r="J28">
        <v>37608</v>
      </c>
      <c r="K28">
        <v>39995</v>
      </c>
    </row>
    <row r="29" spans="1:11" s="6" customFormat="1" x14ac:dyDescent="0.3">
      <c r="A29" s="6" t="s">
        <v>10</v>
      </c>
      <c r="B29">
        <v>5598</v>
      </c>
      <c r="C29">
        <v>4241</v>
      </c>
      <c r="D29">
        <v>5631</v>
      </c>
      <c r="E29">
        <v>5368</v>
      </c>
      <c r="F29">
        <v>7205</v>
      </c>
      <c r="G29">
        <v>7964</v>
      </c>
      <c r="H29">
        <v>9214</v>
      </c>
      <c r="I29">
        <v>9740</v>
      </c>
      <c r="J29">
        <v>10858</v>
      </c>
      <c r="K29">
        <v>10521</v>
      </c>
    </row>
    <row r="30" spans="1:11" s="6" customFormat="1" x14ac:dyDescent="0.3">
      <c r="A30" s="6" t="s">
        <v>11</v>
      </c>
      <c r="B30">
        <v>14353</v>
      </c>
      <c r="C30">
        <v>16029</v>
      </c>
      <c r="D30">
        <v>15404</v>
      </c>
      <c r="E30">
        <v>16594</v>
      </c>
      <c r="F30">
        <v>19351</v>
      </c>
      <c r="G30">
        <v>22110</v>
      </c>
      <c r="H30">
        <v>24095</v>
      </c>
      <c r="I30">
        <v>26233</v>
      </c>
      <c r="J30">
        <v>26713</v>
      </c>
      <c r="K30">
        <v>29440</v>
      </c>
    </row>
    <row r="31" spans="1:11" s="6" customFormat="1" x14ac:dyDescent="0.3">
      <c r="A31" s="6" t="s">
        <v>41</v>
      </c>
      <c r="B31">
        <v>5891.6</v>
      </c>
      <c r="C31">
        <v>9465.6</v>
      </c>
      <c r="D31">
        <v>9222.5</v>
      </c>
      <c r="E31">
        <v>7427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19430.400000000001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29</v>
      </c>
    </row>
    <row r="41" spans="1:11" s="13" customFormat="1" x14ac:dyDescent="0.3">
      <c r="A41" s="12" t="s">
        <v>28</v>
      </c>
      <c r="B41" s="8">
        <v>45291</v>
      </c>
      <c r="C41" s="8">
        <v>45382</v>
      </c>
      <c r="D41" s="8">
        <v>45473</v>
      </c>
      <c r="E41" s="8">
        <v>45565</v>
      </c>
      <c r="F41" s="8">
        <v>45657</v>
      </c>
      <c r="G41" s="8">
        <v>45747</v>
      </c>
      <c r="H41" s="8">
        <v>45838</v>
      </c>
      <c r="I41" s="8">
        <v>45930</v>
      </c>
      <c r="J41" s="8">
        <v>46022</v>
      </c>
      <c r="K41" s="8">
        <v>46112</v>
      </c>
    </row>
    <row r="42" spans="1:11" s="6" customFormat="1" x14ac:dyDescent="0.3">
      <c r="A42" s="6" t="s">
        <v>3</v>
      </c>
      <c r="B42">
        <v>38821</v>
      </c>
      <c r="C42">
        <v>37923</v>
      </c>
      <c r="D42">
        <v>39315</v>
      </c>
      <c r="E42">
        <v>40986</v>
      </c>
      <c r="F42">
        <v>41764</v>
      </c>
      <c r="G42">
        <v>40925</v>
      </c>
      <c r="H42">
        <v>42279</v>
      </c>
      <c r="I42">
        <v>44490</v>
      </c>
      <c r="J42">
        <v>45479</v>
      </c>
      <c r="K42">
        <v>46402</v>
      </c>
    </row>
    <row r="43" spans="1:11" s="6" customFormat="1" x14ac:dyDescent="0.3">
      <c r="A43" s="6" t="s">
        <v>4</v>
      </c>
      <c r="B43">
        <v>29684</v>
      </c>
      <c r="C43">
        <v>29139</v>
      </c>
      <c r="D43">
        <v>29878</v>
      </c>
      <c r="E43">
        <v>31177</v>
      </c>
      <c r="F43">
        <v>31649</v>
      </c>
      <c r="G43">
        <v>31051</v>
      </c>
      <c r="H43">
        <v>32336</v>
      </c>
      <c r="I43">
        <v>33955</v>
      </c>
      <c r="J43">
        <v>34845</v>
      </c>
      <c r="K43">
        <v>35235</v>
      </c>
    </row>
    <row r="44" spans="1:11" s="6" customFormat="1" x14ac:dyDescent="0.3">
      <c r="A44" s="6" t="s">
        <v>6</v>
      </c>
      <c r="B44">
        <v>789</v>
      </c>
      <c r="C44">
        <v>2729</v>
      </c>
      <c r="D44">
        <v>838</v>
      </c>
      <c r="E44">
        <v>712</v>
      </c>
      <c r="F44">
        <v>859</v>
      </c>
      <c r="G44">
        <v>1190</v>
      </c>
      <c r="H44">
        <v>1042</v>
      </c>
      <c r="I44">
        <v>982</v>
      </c>
      <c r="J44">
        <v>-150</v>
      </c>
      <c r="K44">
        <v>1159</v>
      </c>
    </row>
    <row r="45" spans="1:11" s="6" customFormat="1" x14ac:dyDescent="0.3">
      <c r="A45" s="6" t="s">
        <v>7</v>
      </c>
      <c r="B45">
        <v>1176</v>
      </c>
      <c r="C45">
        <v>1163</v>
      </c>
      <c r="D45">
        <v>1149</v>
      </c>
      <c r="E45">
        <v>1160</v>
      </c>
      <c r="F45">
        <v>1203</v>
      </c>
      <c r="G45">
        <v>1299</v>
      </c>
      <c r="H45">
        <v>1140</v>
      </c>
      <c r="I45">
        <v>1182</v>
      </c>
      <c r="J45">
        <v>1155</v>
      </c>
      <c r="K45">
        <v>1424</v>
      </c>
    </row>
    <row r="46" spans="1:11" s="6" customFormat="1" x14ac:dyDescent="0.3">
      <c r="A46" s="6" t="s">
        <v>8</v>
      </c>
      <c r="B46">
        <v>131</v>
      </c>
      <c r="C46">
        <v>110</v>
      </c>
      <c r="D46">
        <v>105</v>
      </c>
      <c r="E46">
        <v>108</v>
      </c>
      <c r="F46">
        <v>101</v>
      </c>
      <c r="G46">
        <v>102</v>
      </c>
      <c r="H46">
        <v>105</v>
      </c>
      <c r="I46">
        <v>106</v>
      </c>
      <c r="J46">
        <v>100</v>
      </c>
      <c r="K46">
        <v>105</v>
      </c>
    </row>
    <row r="47" spans="1:11" s="6" customFormat="1" x14ac:dyDescent="0.3">
      <c r="A47" s="6" t="s">
        <v>9</v>
      </c>
      <c r="B47">
        <v>8619</v>
      </c>
      <c r="C47">
        <v>10240</v>
      </c>
      <c r="D47">
        <v>9021</v>
      </c>
      <c r="E47">
        <v>9253</v>
      </c>
      <c r="F47">
        <v>9670</v>
      </c>
      <c r="G47">
        <v>9663</v>
      </c>
      <c r="H47">
        <v>9740</v>
      </c>
      <c r="I47">
        <v>10229</v>
      </c>
      <c r="J47">
        <v>9229</v>
      </c>
      <c r="K47">
        <v>10797</v>
      </c>
    </row>
    <row r="48" spans="1:11" s="6" customFormat="1" x14ac:dyDescent="0.3">
      <c r="A48" s="6" t="s">
        <v>10</v>
      </c>
      <c r="B48">
        <v>2506</v>
      </c>
      <c r="C48">
        <v>2265</v>
      </c>
      <c r="D48">
        <v>2647</v>
      </c>
      <c r="E48">
        <v>2737</v>
      </c>
      <c r="F48">
        <v>2848</v>
      </c>
      <c r="G48">
        <v>2625</v>
      </c>
      <c r="H48">
        <v>2816</v>
      </c>
      <c r="I48">
        <v>2854</v>
      </c>
      <c r="J48">
        <v>2563</v>
      </c>
      <c r="K48">
        <v>2288</v>
      </c>
    </row>
    <row r="49" spans="1:11" s="6" customFormat="1" x14ac:dyDescent="0.3">
      <c r="A49" s="6" t="s">
        <v>11</v>
      </c>
      <c r="B49">
        <v>6106</v>
      </c>
      <c r="C49">
        <v>7969</v>
      </c>
      <c r="D49">
        <v>6368</v>
      </c>
      <c r="E49">
        <v>6506</v>
      </c>
      <c r="F49">
        <v>6806</v>
      </c>
      <c r="G49">
        <v>7033</v>
      </c>
      <c r="H49">
        <v>6921</v>
      </c>
      <c r="I49">
        <v>7364</v>
      </c>
      <c r="J49">
        <v>6654</v>
      </c>
      <c r="K49">
        <v>8501</v>
      </c>
    </row>
    <row r="50" spans="1:11" x14ac:dyDescent="0.3">
      <c r="A50" s="6" t="s">
        <v>5</v>
      </c>
      <c r="B50">
        <v>9137</v>
      </c>
      <c r="C50">
        <v>8784</v>
      </c>
      <c r="D50">
        <v>9437</v>
      </c>
      <c r="E50">
        <v>9809</v>
      </c>
      <c r="F50">
        <v>10115</v>
      </c>
      <c r="G50">
        <v>9874</v>
      </c>
      <c r="H50">
        <v>9943</v>
      </c>
      <c r="I50">
        <v>10535</v>
      </c>
      <c r="J50">
        <v>10634</v>
      </c>
      <c r="K50">
        <v>11167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30</v>
      </c>
    </row>
    <row r="56" spans="1:11" s="13" customFormat="1" x14ac:dyDescent="0.3">
      <c r="A56" s="12" t="s">
        <v>28</v>
      </c>
      <c r="B56" s="8">
        <v>42825</v>
      </c>
      <c r="C56" s="8">
        <v>43190</v>
      </c>
      <c r="D56" s="8">
        <v>43555</v>
      </c>
      <c r="E56" s="8">
        <v>43921</v>
      </c>
      <c r="F56" s="8">
        <v>44286</v>
      </c>
      <c r="G56" s="8">
        <v>44651</v>
      </c>
      <c r="H56" s="8">
        <v>45016</v>
      </c>
      <c r="I56" s="8">
        <v>45382</v>
      </c>
      <c r="J56" s="8">
        <v>45747</v>
      </c>
      <c r="K56" s="8">
        <v>46112</v>
      </c>
    </row>
    <row r="57" spans="1:11" x14ac:dyDescent="0.3">
      <c r="A57" s="6" t="s">
        <v>15</v>
      </c>
      <c r="B57">
        <v>1144</v>
      </c>
      <c r="C57">
        <v>1088</v>
      </c>
      <c r="D57">
        <v>2170</v>
      </c>
      <c r="E57">
        <v>2122</v>
      </c>
      <c r="F57">
        <v>2124</v>
      </c>
      <c r="G57">
        <v>2098</v>
      </c>
      <c r="H57">
        <v>2069</v>
      </c>
      <c r="I57">
        <v>2071</v>
      </c>
      <c r="J57">
        <v>2073</v>
      </c>
      <c r="K57">
        <v>2024</v>
      </c>
    </row>
    <row r="58" spans="1:11" x14ac:dyDescent="0.3">
      <c r="A58" s="6" t="s">
        <v>16</v>
      </c>
      <c r="B58">
        <v>67838</v>
      </c>
      <c r="C58">
        <v>63835</v>
      </c>
      <c r="D58">
        <v>62778</v>
      </c>
      <c r="E58">
        <v>63328</v>
      </c>
      <c r="F58">
        <v>74227</v>
      </c>
      <c r="G58">
        <v>73252</v>
      </c>
      <c r="H58">
        <v>73338</v>
      </c>
      <c r="I58">
        <v>86045</v>
      </c>
      <c r="J58">
        <v>93745</v>
      </c>
      <c r="K58">
        <v>90828</v>
      </c>
    </row>
    <row r="59" spans="1:11" x14ac:dyDescent="0.3">
      <c r="A59" s="6" t="s">
        <v>42</v>
      </c>
      <c r="B59"/>
      <c r="C59"/>
      <c r="D59"/>
      <c r="E59">
        <v>4633</v>
      </c>
      <c r="F59">
        <v>5325</v>
      </c>
      <c r="G59">
        <v>5474</v>
      </c>
      <c r="H59">
        <v>8299</v>
      </c>
      <c r="I59">
        <v>8359</v>
      </c>
      <c r="J59">
        <v>8227</v>
      </c>
      <c r="K59">
        <v>9176</v>
      </c>
    </row>
    <row r="60" spans="1:11" x14ac:dyDescent="0.3">
      <c r="A60" s="6" t="s">
        <v>43</v>
      </c>
      <c r="B60">
        <v>14166</v>
      </c>
      <c r="C60">
        <v>14426</v>
      </c>
      <c r="D60">
        <v>19118</v>
      </c>
      <c r="E60">
        <v>21717</v>
      </c>
      <c r="F60">
        <v>25835</v>
      </c>
      <c r="G60">
        <v>35905</v>
      </c>
      <c r="H60">
        <v>40890</v>
      </c>
      <c r="I60">
        <v>39545</v>
      </c>
      <c r="J60">
        <v>43750</v>
      </c>
      <c r="K60">
        <v>52260</v>
      </c>
    </row>
    <row r="61" spans="1:11" s="1" customFormat="1" x14ac:dyDescent="0.3">
      <c r="A61" s="1" t="s">
        <v>17</v>
      </c>
      <c r="B61">
        <v>83148</v>
      </c>
      <c r="C61">
        <v>79349</v>
      </c>
      <c r="D61">
        <v>84066</v>
      </c>
      <c r="E61">
        <v>91800</v>
      </c>
      <c r="F61">
        <v>107511</v>
      </c>
      <c r="G61">
        <v>116729</v>
      </c>
      <c r="H61">
        <v>124596</v>
      </c>
      <c r="I61">
        <v>136020</v>
      </c>
      <c r="J61">
        <v>147795</v>
      </c>
      <c r="K61">
        <v>154288</v>
      </c>
    </row>
    <row r="62" spans="1:11" x14ac:dyDescent="0.3">
      <c r="A62" s="6" t="s">
        <v>18</v>
      </c>
      <c r="B62">
        <v>14179</v>
      </c>
      <c r="C62">
        <v>12574</v>
      </c>
      <c r="D62">
        <v>15710</v>
      </c>
      <c r="E62">
        <v>23789</v>
      </c>
      <c r="F62">
        <v>25505</v>
      </c>
      <c r="G62">
        <v>25800</v>
      </c>
      <c r="H62">
        <v>29225</v>
      </c>
      <c r="I62">
        <v>27622</v>
      </c>
      <c r="J62">
        <v>30961</v>
      </c>
      <c r="K62">
        <v>33770</v>
      </c>
    </row>
    <row r="63" spans="1:11" x14ac:dyDescent="0.3">
      <c r="A63" s="6" t="s">
        <v>19</v>
      </c>
      <c r="B63">
        <v>1365</v>
      </c>
      <c r="C63">
        <v>1606</v>
      </c>
      <c r="D63">
        <v>1388</v>
      </c>
      <c r="E63">
        <v>954</v>
      </c>
      <c r="F63">
        <v>922</v>
      </c>
      <c r="G63">
        <v>416</v>
      </c>
      <c r="H63">
        <v>288</v>
      </c>
      <c r="I63">
        <v>293</v>
      </c>
      <c r="J63">
        <v>814</v>
      </c>
      <c r="K63">
        <v>526</v>
      </c>
    </row>
    <row r="64" spans="1:11" x14ac:dyDescent="0.3">
      <c r="A64" s="6" t="s">
        <v>20</v>
      </c>
      <c r="B64">
        <v>16423</v>
      </c>
      <c r="C64">
        <v>12163</v>
      </c>
      <c r="D64">
        <v>11261</v>
      </c>
      <c r="E64">
        <v>8792</v>
      </c>
      <c r="F64">
        <v>14205</v>
      </c>
      <c r="G64">
        <v>20324</v>
      </c>
      <c r="H64">
        <v>19478</v>
      </c>
      <c r="I64">
        <v>24623</v>
      </c>
      <c r="J64">
        <v>23541</v>
      </c>
      <c r="K64">
        <v>21880</v>
      </c>
    </row>
    <row r="65" spans="1:11" x14ac:dyDescent="0.3">
      <c r="A65" s="6" t="s">
        <v>44</v>
      </c>
      <c r="B65">
        <v>51181</v>
      </c>
      <c r="C65">
        <v>53006</v>
      </c>
      <c r="D65">
        <v>55707</v>
      </c>
      <c r="E65">
        <v>58265</v>
      </c>
      <c r="F65">
        <v>66879</v>
      </c>
      <c r="G65">
        <v>70189</v>
      </c>
      <c r="H65">
        <v>75605</v>
      </c>
      <c r="I65">
        <v>83482</v>
      </c>
      <c r="J65">
        <v>92479</v>
      </c>
      <c r="K65">
        <v>98112</v>
      </c>
    </row>
    <row r="66" spans="1:11" s="1" customFormat="1" x14ac:dyDescent="0.3">
      <c r="A66" s="1" t="s">
        <v>17</v>
      </c>
      <c r="B66">
        <v>83148</v>
      </c>
      <c r="C66">
        <v>79349</v>
      </c>
      <c r="D66">
        <v>84066</v>
      </c>
      <c r="E66">
        <v>91800</v>
      </c>
      <c r="F66">
        <v>107511</v>
      </c>
      <c r="G66">
        <v>116729</v>
      </c>
      <c r="H66">
        <v>124596</v>
      </c>
      <c r="I66">
        <v>136020</v>
      </c>
      <c r="J66">
        <v>147795</v>
      </c>
      <c r="K66">
        <v>154288</v>
      </c>
    </row>
    <row r="67" spans="1:11" s="6" customFormat="1" x14ac:dyDescent="0.3">
      <c r="A67" s="6" t="s">
        <v>49</v>
      </c>
      <c r="B67">
        <v>12322</v>
      </c>
      <c r="C67">
        <v>13142</v>
      </c>
      <c r="D67">
        <v>14827</v>
      </c>
      <c r="E67">
        <v>18487</v>
      </c>
      <c r="F67">
        <v>19294</v>
      </c>
      <c r="G67">
        <v>22698</v>
      </c>
      <c r="H67">
        <v>25424</v>
      </c>
      <c r="I67">
        <v>30193</v>
      </c>
      <c r="J67">
        <v>31158</v>
      </c>
      <c r="K67">
        <v>35234</v>
      </c>
    </row>
    <row r="68" spans="1:11" x14ac:dyDescent="0.3">
      <c r="A68" s="6" t="s">
        <v>34</v>
      </c>
    </row>
    <row r="69" spans="1:11" x14ac:dyDescent="0.3">
      <c r="A69" s="4" t="s">
        <v>58</v>
      </c>
      <c r="B69">
        <v>22625</v>
      </c>
      <c r="C69">
        <v>19818</v>
      </c>
      <c r="D69">
        <v>19568</v>
      </c>
      <c r="E69">
        <v>18649</v>
      </c>
      <c r="F69">
        <v>24714</v>
      </c>
      <c r="G69">
        <v>17472</v>
      </c>
      <c r="H69">
        <v>12173</v>
      </c>
      <c r="I69">
        <v>14786</v>
      </c>
      <c r="J69">
        <v>24455</v>
      </c>
      <c r="K69">
        <v>22201</v>
      </c>
    </row>
    <row r="70" spans="1:11" x14ac:dyDescent="0.3">
      <c r="A70" s="4" t="s">
        <v>45</v>
      </c>
      <c r="B70">
        <v>2285655150</v>
      </c>
      <c r="C70">
        <v>2173312301</v>
      </c>
      <c r="D70">
        <v>4335954462</v>
      </c>
      <c r="E70">
        <v>4240753210</v>
      </c>
      <c r="F70">
        <v>4245146114</v>
      </c>
      <c r="G70">
        <v>4193012929</v>
      </c>
      <c r="H70">
        <v>4136387925</v>
      </c>
      <c r="I70">
        <v>4139950635</v>
      </c>
      <c r="J70">
        <v>4143607528</v>
      </c>
      <c r="K70">
        <v>4046940812</v>
      </c>
    </row>
    <row r="71" spans="1:11" x14ac:dyDescent="0.3">
      <c r="A71" s="4" t="s">
        <v>46</v>
      </c>
      <c r="D71">
        <v>2184191490</v>
      </c>
    </row>
    <row r="72" spans="1:11" x14ac:dyDescent="0.3">
      <c r="A72" s="4" t="s">
        <v>59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31</v>
      </c>
    </row>
    <row r="81" spans="1:11" s="13" customFormat="1" x14ac:dyDescent="0.3">
      <c r="A81" s="12" t="s">
        <v>28</v>
      </c>
      <c r="B81" s="8">
        <v>42825</v>
      </c>
      <c r="C81" s="8">
        <v>43190</v>
      </c>
      <c r="D81" s="8">
        <v>43555</v>
      </c>
      <c r="E81" s="8">
        <v>43921</v>
      </c>
      <c r="F81" s="8">
        <v>44286</v>
      </c>
      <c r="G81" s="8">
        <v>44651</v>
      </c>
      <c r="H81" s="8">
        <v>45016</v>
      </c>
      <c r="I81" s="8">
        <v>45382</v>
      </c>
      <c r="J81" s="8">
        <v>45747</v>
      </c>
      <c r="K81" s="8">
        <v>46112</v>
      </c>
    </row>
    <row r="82" spans="1:11" s="1" customFormat="1" x14ac:dyDescent="0.3">
      <c r="A82" s="6" t="s">
        <v>22</v>
      </c>
      <c r="B82">
        <v>11531</v>
      </c>
      <c r="C82">
        <v>13218</v>
      </c>
      <c r="D82">
        <v>14841</v>
      </c>
      <c r="E82">
        <v>17003</v>
      </c>
      <c r="F82">
        <v>23224</v>
      </c>
      <c r="G82">
        <v>23885</v>
      </c>
      <c r="H82">
        <v>22467</v>
      </c>
      <c r="I82">
        <v>25210</v>
      </c>
      <c r="J82">
        <v>35694</v>
      </c>
      <c r="K82">
        <v>33986</v>
      </c>
    </row>
    <row r="83" spans="1:11" s="6" customFormat="1" x14ac:dyDescent="0.3">
      <c r="A83" s="6" t="s">
        <v>23</v>
      </c>
      <c r="B83">
        <v>-14664</v>
      </c>
      <c r="C83">
        <v>4533</v>
      </c>
      <c r="D83">
        <v>-632</v>
      </c>
      <c r="E83">
        <v>-331</v>
      </c>
      <c r="F83">
        <v>-7373</v>
      </c>
      <c r="G83">
        <v>-6485</v>
      </c>
      <c r="H83">
        <v>-1071</v>
      </c>
      <c r="I83">
        <v>-5093</v>
      </c>
      <c r="J83">
        <v>-1864</v>
      </c>
      <c r="K83">
        <v>3546</v>
      </c>
    </row>
    <row r="84" spans="1:11" s="6" customFormat="1" x14ac:dyDescent="0.3">
      <c r="A84" s="6" t="s">
        <v>24</v>
      </c>
      <c r="B84">
        <v>-6939</v>
      </c>
      <c r="C84">
        <v>-20505</v>
      </c>
      <c r="D84">
        <v>-14512</v>
      </c>
      <c r="E84">
        <v>-17591</v>
      </c>
      <c r="F84">
        <v>-9786</v>
      </c>
      <c r="G84">
        <v>-24642</v>
      </c>
      <c r="H84">
        <v>-26695</v>
      </c>
      <c r="I84">
        <v>-17504</v>
      </c>
      <c r="J84">
        <v>-24161</v>
      </c>
      <c r="K84">
        <v>-39786</v>
      </c>
    </row>
    <row r="85" spans="1:11" s="1" customFormat="1" x14ac:dyDescent="0.3">
      <c r="A85" s="6" t="s">
        <v>25</v>
      </c>
      <c r="B85">
        <v>-10072</v>
      </c>
      <c r="C85">
        <v>-2754</v>
      </c>
      <c r="D85">
        <v>-303</v>
      </c>
      <c r="E85">
        <v>-919</v>
      </c>
      <c r="F85">
        <v>6065</v>
      </c>
      <c r="G85">
        <v>-7242</v>
      </c>
      <c r="H85">
        <v>-5299</v>
      </c>
      <c r="I85">
        <v>2613</v>
      </c>
      <c r="J85">
        <v>9669</v>
      </c>
      <c r="K85">
        <v>-2254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48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1250.5999999999999</v>
      </c>
    </row>
    <row r="92" spans="1:11" s="1" customFormat="1" x14ac:dyDescent="0.3">
      <c r="A92" s="1" t="s">
        <v>47</v>
      </c>
    </row>
    <row r="93" spans="1:11" x14ac:dyDescent="0.3">
      <c r="A93" s="4" t="s">
        <v>60</v>
      </c>
      <c r="B93" s="14">
        <v>459.39</v>
      </c>
      <c r="C93" s="14">
        <v>436.82</v>
      </c>
      <c r="D93" s="14">
        <v>436.89</v>
      </c>
      <c r="E93" s="14">
        <v>425.9</v>
      </c>
      <c r="F93" s="14">
        <v>426.07</v>
      </c>
      <c r="G93" s="14">
        <v>420.67</v>
      </c>
      <c r="H93" s="14">
        <v>414.86</v>
      </c>
      <c r="I93" s="14">
        <v>415.09</v>
      </c>
      <c r="J93" s="14">
        <v>415.33</v>
      </c>
      <c r="K93" s="14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ASSUMPTIONS</vt:lpstr>
      <vt:lpstr>FINANCIAL MODEL&lt;</vt:lpstr>
      <vt:lpstr>Profit &amp; Loss</vt:lpstr>
      <vt:lpstr>Balance Sheet</vt:lpstr>
      <vt:lpstr>Cash Flow</vt:lpstr>
      <vt:lpstr>RATIO ANALYSIS</vt:lpstr>
      <vt:lpstr>FORECASTING</vt:lpstr>
      <vt:lpstr>DCF VALUATION&lt;</vt:lpstr>
      <vt:lpstr>WACC</vt:lpstr>
      <vt:lpstr>DATA&lt;</vt:lpstr>
      <vt:lpstr>INTRINSIC GROWTH</vt:lpstr>
      <vt:lpstr>RAW FS</vt:lpstr>
      <vt:lpstr>DCF</vt:lpstr>
      <vt:lpstr>DATA ROOM&lt;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vishal baliya</cp:lastModifiedBy>
  <cp:lastPrinted>2012-12-06T18:14:13Z</cp:lastPrinted>
  <dcterms:created xsi:type="dcterms:W3CDTF">2012-08-17T09:55:37Z</dcterms:created>
  <dcterms:modified xsi:type="dcterms:W3CDTF">2026-07-06T19:49:24Z</dcterms:modified>
</cp:coreProperties>
</file>